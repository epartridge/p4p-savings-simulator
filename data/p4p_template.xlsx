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xp53tg\Coding\p4p-savings-simulator\data\"/>
    </mc:Choice>
  </mc:AlternateContent>
  <xr:revisionPtr revIDLastSave="0" documentId="8_{EF9C5A8F-A75A-4262-A302-520407B4E9D5}" xr6:coauthVersionLast="47" xr6:coauthVersionMax="47" xr10:uidLastSave="{00000000-0000-0000-0000-000000000000}"/>
  <bookViews>
    <workbookView xWindow="43005" yWindow="5175" windowWidth="26220" windowHeight="15030" xr2:uid="{00000000-000D-0000-FFFF-FFFF00000000}"/>
  </bookViews>
  <sheets>
    <sheet name="DC Rollout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 s="1"/>
</calcChain>
</file>

<file path=xl/sharedStrings.xml><?xml version="1.0" encoding="utf-8"?>
<sst xmlns="http://schemas.openxmlformats.org/spreadsheetml/2006/main" count="924" uniqueCount="48">
  <si>
    <t>Region</t>
  </si>
  <si>
    <t>DC Name</t>
  </si>
  <si>
    <t>Month</t>
  </si>
  <si>
    <t>%  Commitment</t>
  </si>
  <si>
    <t>Dollar Impact</t>
  </si>
  <si>
    <t>CPH Impact</t>
  </si>
  <si>
    <t>Live?</t>
  </si>
  <si>
    <t>Target Dollar Amount</t>
  </si>
  <si>
    <t>Feb</t>
  </si>
  <si>
    <t>Yes</t>
  </si>
  <si>
    <t>Mar</t>
  </si>
  <si>
    <t>Summary</t>
  </si>
  <si>
    <t>Total Dollar Impact (Go Live)</t>
  </si>
  <si>
    <t>Apr</t>
  </si>
  <si>
    <t>Difference vs Target</t>
  </si>
  <si>
    <t>May</t>
  </si>
  <si>
    <t>Jun</t>
  </si>
  <si>
    <t>Jul</t>
  </si>
  <si>
    <t>Aug</t>
  </si>
  <si>
    <t>No</t>
  </si>
  <si>
    <t>Sep</t>
  </si>
  <si>
    <t>Oct</t>
  </si>
  <si>
    <t>Nov</t>
  </si>
  <si>
    <t>Dec</t>
  </si>
  <si>
    <t>Jan</t>
  </si>
  <si>
    <t>DC ID</t>
  </si>
  <si>
    <t>South</t>
  </si>
  <si>
    <t>Dallas</t>
  </si>
  <si>
    <t>West</t>
  </si>
  <si>
    <t>Topeka</t>
  </si>
  <si>
    <t>North</t>
  </si>
  <si>
    <t>Breinigsville</t>
  </si>
  <si>
    <t>Monroe</t>
  </si>
  <si>
    <t>Lake Park</t>
  </si>
  <si>
    <t>McCalla</t>
  </si>
  <si>
    <t>Redlands</t>
  </si>
  <si>
    <t>West Columbia</t>
  </si>
  <si>
    <t>Pittston</t>
  </si>
  <si>
    <t>Van Buren</t>
  </si>
  <si>
    <t>Westfield</t>
  </si>
  <si>
    <t>Atlanta</t>
  </si>
  <si>
    <t>Salem</t>
  </si>
  <si>
    <t>Tracy</t>
  </si>
  <si>
    <t>Ontario</t>
  </si>
  <si>
    <t>Tolleson</t>
  </si>
  <si>
    <t>Joliet</t>
  </si>
  <si>
    <t>Winchester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</si>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</sst>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4" fontId="0" fillId="0" borderId="0" xfId="1" applyFont="1"/>
    <xf numFmtId="164" fontId="0" fillId="0" borderId="0" xfId="1" applyNumberFormat="1" applyFont="1" applyAlignment="1">
      <alignment horizontal="left" indent="3"/>
    </xf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164" formatCode="_(&quot;$&quot;* #,##0_);_(&quot;$&quot;* \(#,##0\);_(&quot;$&quot;* &quot;-&quot;??_);_(@_)"/>
      <alignment horizontal="left" vertical="bottom" textRotation="0" wrapText="0" relativeIndent="1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CTable" displayName="DCTable" ref="A1:H229">
  <autoFilter ref="A1:H229" xr:uid="{00000000-0009-0000-0100-000001000000}"/>
  <tableColumns count="8">
    <tableColumn id="7" xr3:uid="{303171F4-A0DD-4D13-95D4-4BC56A84CE10}" name="Region"/>
    <tableColumn id="10" xr3:uid="{0BA0ADDB-105F-4502-B117-60BB051E4BEC}" name="DC ID"/>
    <tableColumn id="1" xr3:uid="{00000000-0010-0000-0000-000001000000}" name="DC Name"/>
    <tableColumn id="2" xr3:uid="{00000000-0010-0000-0000-000002000000}" name="Month"/>
    <tableColumn id="3" xr3:uid="{00000000-0010-0000-0000-000003000000}" name="%  Commitment"/>
    <tableColumn id="4" xr3:uid="{00000000-0010-0000-0000-000004000000}" name="Dollar Impact" dataDxfId="0" dataCellStyle="Currency"/>
    <tableColumn id="5" xr3:uid="{00000000-0010-0000-0000-000005000000}" name="CPH Impact"/>
    <tableColumn id="6" xr3:uid="{00000000-0010-0000-0000-000006000000}" name="Live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"/>
  <sheetViews>
    <sheetView tabSelected="1" workbookViewId="0">
      <selection activeCell="C2" sqref="C2"/>
    </sheetView>
  </sheetViews>
  <sheetFormatPr defaultRowHeight="15" x14ac:dyDescent="0.25"/>
  <cols>
    <col min="1" max="2" width="9" customWidth="1"/>
    <col min="3" max="3" width="23.28515625" customWidth="1"/>
    <col min="4" max="4" width="16" bestFit="1" customWidth="1"/>
    <col min="5" max="5" width="15" customWidth="1"/>
    <col min="6" max="6" width="14.5703125" bestFit="1" customWidth="1"/>
    <col min="7" max="7" width="12.28515625" bestFit="1" customWidth="1"/>
    <col min="8" max="9" width="18.28515625" customWidth="1"/>
    <col min="10" max="11" width="23.28515625" bestFit="1" customWidth="1"/>
    <col min="12" max="12" width="13" bestFit="1" customWidth="1"/>
  </cols>
  <sheetData>
    <row r="1" spans="1:12" x14ac:dyDescent="0.25">
      <c r="A1" t="s">
        <v>0</v>
      </c>
      <c r="B1" t="s">
        <v>25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1" t="s">
        <v>7</v>
      </c>
      <c r="K1" s="4">
        <v>1000000</v>
      </c>
    </row>
    <row r="2" spans="1:12" x14ac:dyDescent="0.25">
      <c r="A2" t="s">
        <v>26</v>
      </c>
      <c r="B2">
        <v>5023</v>
      </c>
      <c r="C2" t="s">
        <v>27</v>
      </c>
      <c r="D2" t="s">
        <v>8</v>
      </c>
      <c r="E2">
        <v>11.49</v>
      </c>
      <c r="F2" s="3">
        <v>30866.47</v>
      </c>
      <c r="G2">
        <v>64.540000000000006</v>
      </c>
      <c r="H2" t="s">
        <v>9</v>
      </c>
    </row>
    <row r="3" spans="1:12" x14ac:dyDescent="0.25">
      <c r="A3" t="s">
        <v>26</v>
      </c>
      <c r="B3">
        <v>5023</v>
      </c>
      <c r="C3" t="s">
        <v>27</v>
      </c>
      <c r="D3" t="s">
        <v>10</v>
      </c>
      <c r="E3">
        <v>9.3800000000000008</v>
      </c>
      <c r="F3" s="3">
        <v>34046.050000000003</v>
      </c>
      <c r="G3">
        <v>68.23</v>
      </c>
      <c r="H3" t="s">
        <v>9</v>
      </c>
      <c r="J3" s="1" t="s">
        <v>11</v>
      </c>
      <c r="K3" t="s">
        <v>12</v>
      </c>
      <c r="L3" s="2">
        <f>SUMIF(DCTable[Live?],"Yes",DCTable[Dollar Impact])</f>
        <v>166965.1</v>
      </c>
    </row>
    <row r="4" spans="1:12" x14ac:dyDescent="0.25">
      <c r="A4" t="s">
        <v>26</v>
      </c>
      <c r="B4">
        <v>5023</v>
      </c>
      <c r="C4" t="s">
        <v>27</v>
      </c>
      <c r="D4" t="s">
        <v>13</v>
      </c>
      <c r="E4">
        <v>5.14</v>
      </c>
      <c r="F4" s="3">
        <v>20357.91</v>
      </c>
      <c r="G4">
        <v>141.32</v>
      </c>
      <c r="H4" t="s">
        <v>9</v>
      </c>
      <c r="K4" t="s">
        <v>14</v>
      </c>
      <c r="L4" s="5">
        <f>K1 - L3</f>
        <v>833034.9</v>
      </c>
    </row>
    <row r="5" spans="1:12" x14ac:dyDescent="0.25">
      <c r="A5" t="s">
        <v>26</v>
      </c>
      <c r="B5">
        <v>5023</v>
      </c>
      <c r="C5" t="s">
        <v>27</v>
      </c>
      <c r="D5" t="s">
        <v>15</v>
      </c>
      <c r="E5">
        <v>8.2200000000000006</v>
      </c>
      <c r="F5" s="3">
        <v>18246.89</v>
      </c>
      <c r="G5">
        <v>52.3</v>
      </c>
      <c r="H5" t="s">
        <v>9</v>
      </c>
    </row>
    <row r="6" spans="1:12" x14ac:dyDescent="0.25">
      <c r="A6" t="s">
        <v>26</v>
      </c>
      <c r="B6">
        <v>5023</v>
      </c>
      <c r="C6" t="s">
        <v>27</v>
      </c>
      <c r="D6" t="s">
        <v>16</v>
      </c>
      <c r="E6">
        <v>12.38</v>
      </c>
      <c r="F6" s="3">
        <v>21840.32</v>
      </c>
      <c r="G6">
        <v>98.63</v>
      </c>
      <c r="H6" t="s">
        <v>9</v>
      </c>
    </row>
    <row r="7" spans="1:12" x14ac:dyDescent="0.25">
      <c r="A7" t="s">
        <v>26</v>
      </c>
      <c r="B7">
        <v>5023</v>
      </c>
      <c r="C7" t="s">
        <v>27</v>
      </c>
      <c r="D7" t="s">
        <v>17</v>
      </c>
      <c r="E7">
        <v>13</v>
      </c>
      <c r="F7" s="3">
        <v>41607.46</v>
      </c>
      <c r="G7">
        <v>77.459999999999994</v>
      </c>
      <c r="H7" t="s">
        <v>9</v>
      </c>
    </row>
    <row r="8" spans="1:12" x14ac:dyDescent="0.25">
      <c r="A8" t="s">
        <v>26</v>
      </c>
      <c r="B8">
        <v>5023</v>
      </c>
      <c r="C8" t="s">
        <v>27</v>
      </c>
      <c r="D8" t="s">
        <v>18</v>
      </c>
      <c r="E8">
        <v>13.62</v>
      </c>
      <c r="F8" s="3">
        <v>12655.98</v>
      </c>
      <c r="G8">
        <v>83.47</v>
      </c>
      <c r="H8" t="s">
        <v>19</v>
      </c>
    </row>
    <row r="9" spans="1:12" x14ac:dyDescent="0.25">
      <c r="A9" t="s">
        <v>26</v>
      </c>
      <c r="B9">
        <v>5023</v>
      </c>
      <c r="C9" t="s">
        <v>27</v>
      </c>
      <c r="D9" t="s">
        <v>20</v>
      </c>
      <c r="E9">
        <v>14.7</v>
      </c>
      <c r="F9" s="3">
        <v>39671.949999999997</v>
      </c>
      <c r="G9">
        <v>143.46</v>
      </c>
      <c r="H9" t="s">
        <v>19</v>
      </c>
    </row>
    <row r="10" spans="1:12" x14ac:dyDescent="0.25">
      <c r="A10" t="s">
        <v>26</v>
      </c>
      <c r="B10">
        <v>5023</v>
      </c>
      <c r="C10" t="s">
        <v>27</v>
      </c>
      <c r="D10" t="s">
        <v>21</v>
      </c>
      <c r="E10">
        <v>12</v>
      </c>
      <c r="F10" s="3">
        <v>22768.1</v>
      </c>
      <c r="G10">
        <v>83.9</v>
      </c>
      <c r="H10" t="s">
        <v>19</v>
      </c>
      <c r="K10" s="5"/>
    </row>
    <row r="11" spans="1:12" x14ac:dyDescent="0.25">
      <c r="A11" t="s">
        <v>26</v>
      </c>
      <c r="B11">
        <v>5023</v>
      </c>
      <c r="C11" t="s">
        <v>27</v>
      </c>
      <c r="D11" t="s">
        <v>22</v>
      </c>
      <c r="E11">
        <v>11.43</v>
      </c>
      <c r="F11" s="3">
        <v>36447.53</v>
      </c>
      <c r="G11">
        <v>114.94</v>
      </c>
      <c r="H11" t="s">
        <v>19</v>
      </c>
    </row>
    <row r="12" spans="1:12" x14ac:dyDescent="0.25">
      <c r="A12" t="s">
        <v>26</v>
      </c>
      <c r="B12">
        <v>5023</v>
      </c>
      <c r="C12" t="s">
        <v>27</v>
      </c>
      <c r="D12" t="s">
        <v>23</v>
      </c>
      <c r="E12">
        <v>6.85</v>
      </c>
      <c r="F12" s="3">
        <v>47937.04</v>
      </c>
      <c r="G12">
        <v>144.38</v>
      </c>
      <c r="H12" t="s">
        <v>19</v>
      </c>
    </row>
    <row r="13" spans="1:12" x14ac:dyDescent="0.25">
      <c r="A13" t="s">
        <v>26</v>
      </c>
      <c r="B13">
        <v>5023</v>
      </c>
      <c r="C13" t="s">
        <v>27</v>
      </c>
      <c r="D13" t="s">
        <v>24</v>
      </c>
      <c r="E13">
        <v>10.35</v>
      </c>
      <c r="F13" s="3">
        <v>17603.45</v>
      </c>
      <c r="G13">
        <v>58.6</v>
      </c>
      <c r="H13" t="s">
        <v>19</v>
      </c>
    </row>
    <row r="14" spans="1:12" x14ac:dyDescent="0.25">
      <c r="A14" t="s">
        <v>28</v>
      </c>
      <c r="B14">
        <v>5024</v>
      </c>
      <c r="C14" t="s">
        <v>29</v>
      </c>
      <c r="D14" t="s">
        <v>8</v>
      </c>
      <c r="E14">
        <v>13.9</v>
      </c>
      <c r="F14" s="3">
        <v>18765.189999999999</v>
      </c>
      <c r="G14">
        <v>148.02000000000001</v>
      </c>
      <c r="H14" t="s">
        <v>19</v>
      </c>
    </row>
    <row r="15" spans="1:12" x14ac:dyDescent="0.25">
      <c r="A15" t="s">
        <v>28</v>
      </c>
      <c r="B15">
        <v>5024</v>
      </c>
      <c r="C15" t="s">
        <v>29</v>
      </c>
      <c r="D15" t="s">
        <v>10</v>
      </c>
      <c r="E15">
        <v>11.3</v>
      </c>
      <c r="F15" s="3">
        <v>17252.18</v>
      </c>
      <c r="G15">
        <v>102.04</v>
      </c>
      <c r="H15" t="s">
        <v>19</v>
      </c>
    </row>
    <row r="16" spans="1:12" x14ac:dyDescent="0.25">
      <c r="A16" t="s">
        <v>28</v>
      </c>
      <c r="B16">
        <v>5024</v>
      </c>
      <c r="C16" t="s">
        <v>29</v>
      </c>
      <c r="D16" t="s">
        <v>13</v>
      </c>
      <c r="E16">
        <v>14.26</v>
      </c>
      <c r="F16" s="3">
        <v>26365.78</v>
      </c>
      <c r="G16">
        <v>75.709999999999994</v>
      </c>
      <c r="H16" t="s">
        <v>19</v>
      </c>
    </row>
    <row r="17" spans="1:8" x14ac:dyDescent="0.25">
      <c r="A17" t="s">
        <v>28</v>
      </c>
      <c r="B17">
        <v>5024</v>
      </c>
      <c r="C17" t="s">
        <v>29</v>
      </c>
      <c r="D17" t="s">
        <v>15</v>
      </c>
      <c r="E17">
        <v>7.61</v>
      </c>
      <c r="F17" s="3">
        <v>37761.03</v>
      </c>
      <c r="G17">
        <v>147.04</v>
      </c>
      <c r="H17" t="s">
        <v>19</v>
      </c>
    </row>
    <row r="18" spans="1:8" x14ac:dyDescent="0.25">
      <c r="A18" t="s">
        <v>28</v>
      </c>
      <c r="B18">
        <v>5024</v>
      </c>
      <c r="C18" t="s">
        <v>29</v>
      </c>
      <c r="D18" t="s">
        <v>16</v>
      </c>
      <c r="E18">
        <v>10.64</v>
      </c>
      <c r="F18" s="3">
        <v>32281.32</v>
      </c>
      <c r="G18">
        <v>149.80000000000001</v>
      </c>
      <c r="H18" t="s">
        <v>19</v>
      </c>
    </row>
    <row r="19" spans="1:8" x14ac:dyDescent="0.25">
      <c r="A19" t="s">
        <v>28</v>
      </c>
      <c r="B19">
        <v>5024</v>
      </c>
      <c r="C19" t="s">
        <v>29</v>
      </c>
      <c r="D19" t="s">
        <v>17</v>
      </c>
      <c r="E19">
        <v>14.38</v>
      </c>
      <c r="F19" s="3">
        <v>19425.97</v>
      </c>
      <c r="G19">
        <v>107.49</v>
      </c>
      <c r="H19" t="s">
        <v>19</v>
      </c>
    </row>
    <row r="20" spans="1:8" x14ac:dyDescent="0.25">
      <c r="A20" t="s">
        <v>28</v>
      </c>
      <c r="B20">
        <v>5024</v>
      </c>
      <c r="C20" t="s">
        <v>29</v>
      </c>
      <c r="D20" t="s">
        <v>18</v>
      </c>
      <c r="E20">
        <v>12.2</v>
      </c>
      <c r="F20" s="3">
        <v>17665.34</v>
      </c>
      <c r="G20">
        <v>69.400000000000006</v>
      </c>
      <c r="H20" t="s">
        <v>19</v>
      </c>
    </row>
    <row r="21" spans="1:8" x14ac:dyDescent="0.25">
      <c r="A21" t="s">
        <v>28</v>
      </c>
      <c r="B21">
        <v>5024</v>
      </c>
      <c r="C21" t="s">
        <v>29</v>
      </c>
      <c r="D21" t="s">
        <v>20</v>
      </c>
      <c r="E21">
        <v>12.9</v>
      </c>
      <c r="F21" s="3">
        <v>42762.75</v>
      </c>
      <c r="G21">
        <v>79.28</v>
      </c>
      <c r="H21" t="s">
        <v>19</v>
      </c>
    </row>
    <row r="22" spans="1:8" x14ac:dyDescent="0.25">
      <c r="A22" t="s">
        <v>28</v>
      </c>
      <c r="B22">
        <v>5024</v>
      </c>
      <c r="C22" t="s">
        <v>29</v>
      </c>
      <c r="D22" t="s">
        <v>21</v>
      </c>
      <c r="E22">
        <v>14.71</v>
      </c>
      <c r="F22" s="3">
        <v>41568.07</v>
      </c>
      <c r="G22">
        <v>142.38999999999999</v>
      </c>
      <c r="H22" t="s">
        <v>19</v>
      </c>
    </row>
    <row r="23" spans="1:8" x14ac:dyDescent="0.25">
      <c r="A23" t="s">
        <v>28</v>
      </c>
      <c r="B23">
        <v>5024</v>
      </c>
      <c r="C23" t="s">
        <v>29</v>
      </c>
      <c r="D23" t="s">
        <v>22</v>
      </c>
      <c r="E23">
        <v>12.24</v>
      </c>
      <c r="F23" s="3">
        <v>45700.73</v>
      </c>
      <c r="G23">
        <v>118.89</v>
      </c>
      <c r="H23" t="s">
        <v>19</v>
      </c>
    </row>
    <row r="24" spans="1:8" x14ac:dyDescent="0.25">
      <c r="A24" t="s">
        <v>28</v>
      </c>
      <c r="B24">
        <v>5024</v>
      </c>
      <c r="C24" t="s">
        <v>29</v>
      </c>
      <c r="D24" t="s">
        <v>23</v>
      </c>
      <c r="E24">
        <v>13.82</v>
      </c>
      <c r="F24" s="3">
        <v>13474.13</v>
      </c>
      <c r="G24">
        <v>87.1</v>
      </c>
      <c r="H24" t="s">
        <v>19</v>
      </c>
    </row>
    <row r="25" spans="1:8" x14ac:dyDescent="0.25">
      <c r="A25" t="s">
        <v>28</v>
      </c>
      <c r="B25">
        <v>5024</v>
      </c>
      <c r="C25" t="s">
        <v>29</v>
      </c>
      <c r="D25" t="s">
        <v>24</v>
      </c>
      <c r="E25">
        <v>6.27</v>
      </c>
      <c r="F25" s="3">
        <v>30742.57</v>
      </c>
      <c r="G25">
        <v>129.94</v>
      </c>
      <c r="H25" t="s">
        <v>19</v>
      </c>
    </row>
    <row r="26" spans="1:8" x14ac:dyDescent="0.25">
      <c r="A26" t="s">
        <v>30</v>
      </c>
      <c r="B26">
        <v>5034</v>
      </c>
      <c r="C26" t="s">
        <v>31</v>
      </c>
      <c r="D26" t="s">
        <v>8</v>
      </c>
      <c r="E26">
        <v>5.77</v>
      </c>
      <c r="F26" s="3">
        <v>10171</v>
      </c>
      <c r="G26">
        <v>134.74</v>
      </c>
      <c r="H26" t="s">
        <v>19</v>
      </c>
    </row>
    <row r="27" spans="1:8" x14ac:dyDescent="0.25">
      <c r="A27" t="s">
        <v>30</v>
      </c>
      <c r="B27">
        <v>5034</v>
      </c>
      <c r="C27" t="s">
        <v>31</v>
      </c>
      <c r="D27" t="s">
        <v>10</v>
      </c>
      <c r="E27">
        <v>9.11</v>
      </c>
      <c r="F27" s="3">
        <v>35770.61</v>
      </c>
      <c r="G27">
        <v>110.55</v>
      </c>
      <c r="H27" t="s">
        <v>19</v>
      </c>
    </row>
    <row r="28" spans="1:8" x14ac:dyDescent="0.25">
      <c r="A28" t="s">
        <v>30</v>
      </c>
      <c r="B28">
        <v>5034</v>
      </c>
      <c r="C28" t="s">
        <v>31</v>
      </c>
      <c r="D28" t="s">
        <v>13</v>
      </c>
      <c r="E28">
        <v>9.1999999999999993</v>
      </c>
      <c r="F28" s="3">
        <v>46146.17</v>
      </c>
      <c r="G28">
        <v>115.64</v>
      </c>
      <c r="H28" t="s">
        <v>19</v>
      </c>
    </row>
    <row r="29" spans="1:8" x14ac:dyDescent="0.25">
      <c r="A29" t="s">
        <v>30</v>
      </c>
      <c r="B29">
        <v>5034</v>
      </c>
      <c r="C29" t="s">
        <v>31</v>
      </c>
      <c r="D29" t="s">
        <v>15</v>
      </c>
      <c r="E29">
        <v>11.11</v>
      </c>
      <c r="F29" s="3">
        <v>15203.65</v>
      </c>
      <c r="G29">
        <v>134.25</v>
      </c>
      <c r="H29" t="s">
        <v>19</v>
      </c>
    </row>
    <row r="30" spans="1:8" x14ac:dyDescent="0.25">
      <c r="A30" t="s">
        <v>30</v>
      </c>
      <c r="B30">
        <v>5034</v>
      </c>
      <c r="C30" t="s">
        <v>31</v>
      </c>
      <c r="D30" t="s">
        <v>16</v>
      </c>
      <c r="E30">
        <v>12.82</v>
      </c>
      <c r="F30" s="3">
        <v>18155.97</v>
      </c>
      <c r="G30">
        <v>92.95</v>
      </c>
      <c r="H30" t="s">
        <v>19</v>
      </c>
    </row>
    <row r="31" spans="1:8" x14ac:dyDescent="0.25">
      <c r="A31" t="s">
        <v>30</v>
      </c>
      <c r="B31">
        <v>5034</v>
      </c>
      <c r="C31" t="s">
        <v>31</v>
      </c>
      <c r="D31" t="s">
        <v>17</v>
      </c>
      <c r="E31">
        <v>6.89</v>
      </c>
      <c r="F31" s="3">
        <v>46048.68</v>
      </c>
      <c r="G31">
        <v>102.32</v>
      </c>
      <c r="H31" t="s">
        <v>19</v>
      </c>
    </row>
    <row r="32" spans="1:8" x14ac:dyDescent="0.25">
      <c r="A32" t="s">
        <v>30</v>
      </c>
      <c r="B32">
        <v>5034</v>
      </c>
      <c r="C32" t="s">
        <v>31</v>
      </c>
      <c r="D32" t="s">
        <v>18</v>
      </c>
      <c r="E32">
        <v>8.0299999999999994</v>
      </c>
      <c r="F32" s="3">
        <v>35110.17</v>
      </c>
      <c r="G32">
        <v>116.52</v>
      </c>
      <c r="H32" t="s">
        <v>19</v>
      </c>
    </row>
    <row r="33" spans="1:8" x14ac:dyDescent="0.25">
      <c r="A33" t="s">
        <v>30</v>
      </c>
      <c r="B33">
        <v>5034</v>
      </c>
      <c r="C33" t="s">
        <v>31</v>
      </c>
      <c r="D33" t="s">
        <v>20</v>
      </c>
      <c r="E33">
        <v>11.58</v>
      </c>
      <c r="F33" s="3">
        <v>29766.15</v>
      </c>
      <c r="G33">
        <v>127.56</v>
      </c>
      <c r="H33" t="s">
        <v>19</v>
      </c>
    </row>
    <row r="34" spans="1:8" x14ac:dyDescent="0.25">
      <c r="A34" t="s">
        <v>30</v>
      </c>
      <c r="B34">
        <v>5034</v>
      </c>
      <c r="C34" t="s">
        <v>31</v>
      </c>
      <c r="D34" t="s">
        <v>21</v>
      </c>
      <c r="E34">
        <v>10.31</v>
      </c>
      <c r="F34" s="3">
        <v>26097.11</v>
      </c>
      <c r="G34">
        <v>121.49</v>
      </c>
      <c r="H34" t="s">
        <v>19</v>
      </c>
    </row>
    <row r="35" spans="1:8" x14ac:dyDescent="0.25">
      <c r="A35" t="s">
        <v>30</v>
      </c>
      <c r="B35">
        <v>5034</v>
      </c>
      <c r="C35" t="s">
        <v>31</v>
      </c>
      <c r="D35" t="s">
        <v>22</v>
      </c>
      <c r="E35">
        <v>11.61</v>
      </c>
      <c r="F35" s="3">
        <v>40398.629999999997</v>
      </c>
      <c r="G35">
        <v>132.06</v>
      </c>
      <c r="H35" t="s">
        <v>19</v>
      </c>
    </row>
    <row r="36" spans="1:8" x14ac:dyDescent="0.25">
      <c r="A36" t="s">
        <v>30</v>
      </c>
      <c r="B36">
        <v>5034</v>
      </c>
      <c r="C36" t="s">
        <v>31</v>
      </c>
      <c r="D36" t="s">
        <v>23</v>
      </c>
      <c r="E36">
        <v>7.31</v>
      </c>
      <c r="F36" s="3">
        <v>49988.31</v>
      </c>
      <c r="G36">
        <v>67.180000000000007</v>
      </c>
      <c r="H36" t="s">
        <v>19</v>
      </c>
    </row>
    <row r="37" spans="1:8" x14ac:dyDescent="0.25">
      <c r="A37" t="s">
        <v>30</v>
      </c>
      <c r="B37">
        <v>5034</v>
      </c>
      <c r="C37" t="s">
        <v>31</v>
      </c>
      <c r="D37" t="s">
        <v>24</v>
      </c>
      <c r="E37">
        <v>11.46</v>
      </c>
      <c r="F37" s="3">
        <v>25021.82</v>
      </c>
      <c r="G37">
        <v>70.650000000000006</v>
      </c>
      <c r="H37" t="s">
        <v>19</v>
      </c>
    </row>
    <row r="38" spans="1:8" x14ac:dyDescent="0.25">
      <c r="A38" t="s">
        <v>30</v>
      </c>
      <c r="B38">
        <v>5084</v>
      </c>
      <c r="C38" t="s">
        <v>32</v>
      </c>
      <c r="D38" t="s">
        <v>8</v>
      </c>
      <c r="E38">
        <v>8.65</v>
      </c>
      <c r="F38" s="3">
        <v>43235.519999999997</v>
      </c>
      <c r="G38">
        <v>61.11</v>
      </c>
      <c r="H38" t="s">
        <v>19</v>
      </c>
    </row>
    <row r="39" spans="1:8" x14ac:dyDescent="0.25">
      <c r="A39" t="s">
        <v>30</v>
      </c>
      <c r="B39">
        <v>5084</v>
      </c>
      <c r="C39" t="s">
        <v>32</v>
      </c>
      <c r="D39" t="s">
        <v>10</v>
      </c>
      <c r="E39">
        <v>6.6</v>
      </c>
      <c r="F39" s="3">
        <v>13787.3</v>
      </c>
      <c r="G39">
        <v>65.760000000000005</v>
      </c>
      <c r="H39" t="s">
        <v>19</v>
      </c>
    </row>
    <row r="40" spans="1:8" x14ac:dyDescent="0.25">
      <c r="A40" t="s">
        <v>30</v>
      </c>
      <c r="B40">
        <v>5084</v>
      </c>
      <c r="C40" t="s">
        <v>32</v>
      </c>
      <c r="D40" t="s">
        <v>13</v>
      </c>
      <c r="E40">
        <v>10.25</v>
      </c>
      <c r="F40" s="3">
        <v>36355.660000000003</v>
      </c>
      <c r="G40">
        <v>72.33</v>
      </c>
      <c r="H40" t="s">
        <v>19</v>
      </c>
    </row>
    <row r="41" spans="1:8" x14ac:dyDescent="0.25">
      <c r="A41" t="s">
        <v>30</v>
      </c>
      <c r="B41">
        <v>5084</v>
      </c>
      <c r="C41" t="s">
        <v>32</v>
      </c>
      <c r="D41" t="s">
        <v>15</v>
      </c>
      <c r="E41">
        <v>8.4499999999999993</v>
      </c>
      <c r="F41" s="3">
        <v>16660.97</v>
      </c>
      <c r="G41">
        <v>149.11000000000001</v>
      </c>
      <c r="H41" t="s">
        <v>19</v>
      </c>
    </row>
    <row r="42" spans="1:8" x14ac:dyDescent="0.25">
      <c r="A42" t="s">
        <v>30</v>
      </c>
      <c r="B42">
        <v>5084</v>
      </c>
      <c r="C42" t="s">
        <v>32</v>
      </c>
      <c r="D42" t="s">
        <v>16</v>
      </c>
      <c r="E42">
        <v>10.130000000000001</v>
      </c>
      <c r="F42" s="3">
        <v>12847.55</v>
      </c>
      <c r="G42">
        <v>110.58</v>
      </c>
      <c r="H42" t="s">
        <v>19</v>
      </c>
    </row>
    <row r="43" spans="1:8" x14ac:dyDescent="0.25">
      <c r="A43" t="s">
        <v>30</v>
      </c>
      <c r="B43">
        <v>5084</v>
      </c>
      <c r="C43" t="s">
        <v>32</v>
      </c>
      <c r="D43" t="s">
        <v>17</v>
      </c>
      <c r="E43">
        <v>13.99</v>
      </c>
      <c r="F43" s="3">
        <v>13068.18</v>
      </c>
      <c r="G43">
        <v>80.099999999999994</v>
      </c>
      <c r="H43" t="s">
        <v>19</v>
      </c>
    </row>
    <row r="44" spans="1:8" x14ac:dyDescent="0.25">
      <c r="A44" t="s">
        <v>30</v>
      </c>
      <c r="B44">
        <v>5084</v>
      </c>
      <c r="C44" t="s">
        <v>32</v>
      </c>
      <c r="D44" t="s">
        <v>18</v>
      </c>
      <c r="E44">
        <v>7.28</v>
      </c>
      <c r="F44" s="3">
        <v>39857.660000000003</v>
      </c>
      <c r="G44">
        <v>91</v>
      </c>
      <c r="H44" t="s">
        <v>19</v>
      </c>
    </row>
    <row r="45" spans="1:8" x14ac:dyDescent="0.25">
      <c r="A45" t="s">
        <v>30</v>
      </c>
      <c r="B45">
        <v>5084</v>
      </c>
      <c r="C45" t="s">
        <v>32</v>
      </c>
      <c r="D45" t="s">
        <v>20</v>
      </c>
      <c r="E45">
        <v>12.17</v>
      </c>
      <c r="F45" s="3">
        <v>22635.73</v>
      </c>
      <c r="G45">
        <v>125.28</v>
      </c>
      <c r="H45" t="s">
        <v>19</v>
      </c>
    </row>
    <row r="46" spans="1:8" x14ac:dyDescent="0.25">
      <c r="A46" t="s">
        <v>30</v>
      </c>
      <c r="B46">
        <v>5084</v>
      </c>
      <c r="C46" t="s">
        <v>32</v>
      </c>
      <c r="D46" t="s">
        <v>21</v>
      </c>
      <c r="E46">
        <v>13.34</v>
      </c>
      <c r="F46" s="3">
        <v>41147.61</v>
      </c>
      <c r="G46">
        <v>90.74</v>
      </c>
      <c r="H46" t="s">
        <v>19</v>
      </c>
    </row>
    <row r="47" spans="1:8" x14ac:dyDescent="0.25">
      <c r="A47" t="s">
        <v>30</v>
      </c>
      <c r="B47">
        <v>5084</v>
      </c>
      <c r="C47" t="s">
        <v>32</v>
      </c>
      <c r="D47" t="s">
        <v>22</v>
      </c>
      <c r="E47">
        <v>9.82</v>
      </c>
      <c r="F47" s="3">
        <v>26110.400000000001</v>
      </c>
      <c r="G47">
        <v>90.79</v>
      </c>
      <c r="H47" t="s">
        <v>19</v>
      </c>
    </row>
    <row r="48" spans="1:8" x14ac:dyDescent="0.25">
      <c r="A48" t="s">
        <v>30</v>
      </c>
      <c r="B48">
        <v>5084</v>
      </c>
      <c r="C48" t="s">
        <v>32</v>
      </c>
      <c r="D48" t="s">
        <v>23</v>
      </c>
      <c r="E48">
        <v>13.97</v>
      </c>
      <c r="F48" s="3">
        <v>32583.09</v>
      </c>
      <c r="G48">
        <v>93.36</v>
      </c>
      <c r="H48" t="s">
        <v>19</v>
      </c>
    </row>
    <row r="49" spans="1:8" x14ac:dyDescent="0.25">
      <c r="A49" t="s">
        <v>30</v>
      </c>
      <c r="B49">
        <v>5084</v>
      </c>
      <c r="C49" t="s">
        <v>32</v>
      </c>
      <c r="D49" t="s">
        <v>24</v>
      </c>
      <c r="E49">
        <v>11.96</v>
      </c>
      <c r="F49" s="3">
        <v>34402.519999999997</v>
      </c>
      <c r="G49">
        <v>93.76</v>
      </c>
      <c r="H49" t="s">
        <v>19</v>
      </c>
    </row>
    <row r="50" spans="1:8" x14ac:dyDescent="0.25">
      <c r="A50" t="s">
        <v>26</v>
      </c>
      <c r="B50">
        <v>5085</v>
      </c>
      <c r="C50" t="s">
        <v>33</v>
      </c>
      <c r="D50" t="s">
        <v>8</v>
      </c>
      <c r="E50">
        <v>6.48</v>
      </c>
      <c r="F50" s="3">
        <v>39894.26</v>
      </c>
      <c r="G50">
        <v>63.98</v>
      </c>
      <c r="H50" t="s">
        <v>19</v>
      </c>
    </row>
    <row r="51" spans="1:8" x14ac:dyDescent="0.25">
      <c r="A51" t="s">
        <v>26</v>
      </c>
      <c r="B51">
        <v>5085</v>
      </c>
      <c r="C51" t="s">
        <v>33</v>
      </c>
      <c r="D51" t="s">
        <v>10</v>
      </c>
      <c r="E51">
        <v>6.26</v>
      </c>
      <c r="F51" s="3">
        <v>28799.21</v>
      </c>
      <c r="G51">
        <v>53.98</v>
      </c>
      <c r="H51" t="s">
        <v>19</v>
      </c>
    </row>
    <row r="52" spans="1:8" x14ac:dyDescent="0.25">
      <c r="A52" t="s">
        <v>26</v>
      </c>
      <c r="B52">
        <v>5085</v>
      </c>
      <c r="C52" t="s">
        <v>33</v>
      </c>
      <c r="D52" t="s">
        <v>13</v>
      </c>
      <c r="E52">
        <v>12.03</v>
      </c>
      <c r="F52" s="3">
        <v>21696.06</v>
      </c>
      <c r="G52">
        <v>71.86</v>
      </c>
      <c r="H52" t="s">
        <v>19</v>
      </c>
    </row>
    <row r="53" spans="1:8" x14ac:dyDescent="0.25">
      <c r="A53" t="s">
        <v>26</v>
      </c>
      <c r="B53">
        <v>5085</v>
      </c>
      <c r="C53" t="s">
        <v>33</v>
      </c>
      <c r="D53" t="s">
        <v>15</v>
      </c>
      <c r="E53">
        <v>13.74</v>
      </c>
      <c r="F53" s="3">
        <v>45146.61</v>
      </c>
      <c r="G53">
        <v>52.39</v>
      </c>
      <c r="H53" t="s">
        <v>19</v>
      </c>
    </row>
    <row r="54" spans="1:8" x14ac:dyDescent="0.25">
      <c r="A54" t="s">
        <v>26</v>
      </c>
      <c r="B54">
        <v>5085</v>
      </c>
      <c r="C54" t="s">
        <v>33</v>
      </c>
      <c r="D54" t="s">
        <v>16</v>
      </c>
      <c r="E54">
        <v>5.35</v>
      </c>
      <c r="F54" s="3">
        <v>16223.4</v>
      </c>
      <c r="G54">
        <v>51.17</v>
      </c>
      <c r="H54" t="s">
        <v>19</v>
      </c>
    </row>
    <row r="55" spans="1:8" x14ac:dyDescent="0.25">
      <c r="A55" t="s">
        <v>26</v>
      </c>
      <c r="B55">
        <v>5085</v>
      </c>
      <c r="C55" t="s">
        <v>33</v>
      </c>
      <c r="D55" t="s">
        <v>17</v>
      </c>
      <c r="E55">
        <v>8.26</v>
      </c>
      <c r="F55" s="3">
        <v>21837.83</v>
      </c>
      <c r="G55">
        <v>52.17</v>
      </c>
      <c r="H55" t="s">
        <v>19</v>
      </c>
    </row>
    <row r="56" spans="1:8" x14ac:dyDescent="0.25">
      <c r="A56" t="s">
        <v>26</v>
      </c>
      <c r="B56">
        <v>5085</v>
      </c>
      <c r="C56" t="s">
        <v>33</v>
      </c>
      <c r="D56" t="s">
        <v>18</v>
      </c>
      <c r="E56">
        <v>5.74</v>
      </c>
      <c r="F56" s="3">
        <v>14115.56</v>
      </c>
      <c r="G56">
        <v>114.32</v>
      </c>
      <c r="H56" t="s">
        <v>19</v>
      </c>
    </row>
    <row r="57" spans="1:8" x14ac:dyDescent="0.25">
      <c r="A57" t="s">
        <v>26</v>
      </c>
      <c r="B57">
        <v>5085</v>
      </c>
      <c r="C57" t="s">
        <v>33</v>
      </c>
      <c r="D57" t="s">
        <v>20</v>
      </c>
      <c r="E57">
        <v>8.9700000000000006</v>
      </c>
      <c r="F57" s="3">
        <v>29915.99</v>
      </c>
      <c r="G57">
        <v>69.02</v>
      </c>
      <c r="H57" t="s">
        <v>19</v>
      </c>
    </row>
    <row r="58" spans="1:8" x14ac:dyDescent="0.25">
      <c r="A58" t="s">
        <v>26</v>
      </c>
      <c r="B58">
        <v>5085</v>
      </c>
      <c r="C58" t="s">
        <v>33</v>
      </c>
      <c r="D58" t="s">
        <v>21</v>
      </c>
      <c r="E58">
        <v>9.64</v>
      </c>
      <c r="F58" s="3">
        <v>16840.72</v>
      </c>
      <c r="G58">
        <v>122.13</v>
      </c>
      <c r="H58" t="s">
        <v>19</v>
      </c>
    </row>
    <row r="59" spans="1:8" x14ac:dyDescent="0.25">
      <c r="A59" t="s">
        <v>26</v>
      </c>
      <c r="B59">
        <v>5085</v>
      </c>
      <c r="C59" t="s">
        <v>33</v>
      </c>
      <c r="D59" t="s">
        <v>22</v>
      </c>
      <c r="E59">
        <v>11.72</v>
      </c>
      <c r="F59" s="3">
        <v>30396.959999999999</v>
      </c>
      <c r="G59">
        <v>91.18</v>
      </c>
      <c r="H59" t="s">
        <v>19</v>
      </c>
    </row>
    <row r="60" spans="1:8" x14ac:dyDescent="0.25">
      <c r="A60" t="s">
        <v>26</v>
      </c>
      <c r="B60">
        <v>5085</v>
      </c>
      <c r="C60" t="s">
        <v>33</v>
      </c>
      <c r="D60" t="s">
        <v>23</v>
      </c>
      <c r="E60">
        <v>9.49</v>
      </c>
      <c r="F60" s="3">
        <v>20380.169999999998</v>
      </c>
      <c r="G60">
        <v>119.8</v>
      </c>
      <c r="H60" t="s">
        <v>19</v>
      </c>
    </row>
    <row r="61" spans="1:8" x14ac:dyDescent="0.25">
      <c r="A61" t="s">
        <v>26</v>
      </c>
      <c r="B61">
        <v>5085</v>
      </c>
      <c r="C61" t="s">
        <v>33</v>
      </c>
      <c r="D61" t="s">
        <v>24</v>
      </c>
      <c r="E61">
        <v>12.67</v>
      </c>
      <c r="F61" s="3">
        <v>20505.78</v>
      </c>
      <c r="G61">
        <v>99.88</v>
      </c>
      <c r="H61" t="s">
        <v>19</v>
      </c>
    </row>
    <row r="62" spans="1:8" x14ac:dyDescent="0.25">
      <c r="A62" t="s">
        <v>26</v>
      </c>
      <c r="B62">
        <v>5086</v>
      </c>
      <c r="C62" t="s">
        <v>34</v>
      </c>
      <c r="D62" t="s">
        <v>8</v>
      </c>
      <c r="E62">
        <v>11.05</v>
      </c>
      <c r="F62" s="3">
        <v>20905.060000000001</v>
      </c>
      <c r="G62">
        <v>61.04</v>
      </c>
      <c r="H62" t="s">
        <v>19</v>
      </c>
    </row>
    <row r="63" spans="1:8" x14ac:dyDescent="0.25">
      <c r="A63" t="s">
        <v>26</v>
      </c>
      <c r="B63">
        <v>5086</v>
      </c>
      <c r="C63" t="s">
        <v>34</v>
      </c>
      <c r="D63" t="s">
        <v>10</v>
      </c>
      <c r="E63">
        <v>10.52</v>
      </c>
      <c r="F63" s="3">
        <v>16854.189999999999</v>
      </c>
      <c r="G63">
        <v>61.99</v>
      </c>
      <c r="H63" t="s">
        <v>19</v>
      </c>
    </row>
    <row r="64" spans="1:8" x14ac:dyDescent="0.25">
      <c r="A64" t="s">
        <v>26</v>
      </c>
      <c r="B64">
        <v>5086</v>
      </c>
      <c r="C64" t="s">
        <v>34</v>
      </c>
      <c r="D64" t="s">
        <v>13</v>
      </c>
      <c r="E64">
        <v>10.66</v>
      </c>
      <c r="F64" s="3">
        <v>23751.14</v>
      </c>
      <c r="G64">
        <v>58.4</v>
      </c>
      <c r="H64" t="s">
        <v>19</v>
      </c>
    </row>
    <row r="65" spans="1:8" x14ac:dyDescent="0.25">
      <c r="A65" t="s">
        <v>26</v>
      </c>
      <c r="B65">
        <v>5086</v>
      </c>
      <c r="C65" t="s">
        <v>34</v>
      </c>
      <c r="D65" t="s">
        <v>15</v>
      </c>
      <c r="E65">
        <v>7.68</v>
      </c>
      <c r="F65" s="3">
        <v>20372.09</v>
      </c>
      <c r="G65">
        <v>136.21</v>
      </c>
      <c r="H65" t="s">
        <v>19</v>
      </c>
    </row>
    <row r="66" spans="1:8" x14ac:dyDescent="0.25">
      <c r="A66" t="s">
        <v>26</v>
      </c>
      <c r="B66">
        <v>5086</v>
      </c>
      <c r="C66" t="s">
        <v>34</v>
      </c>
      <c r="D66" t="s">
        <v>16</v>
      </c>
      <c r="E66">
        <v>14.05</v>
      </c>
      <c r="F66" s="3">
        <v>28397.35</v>
      </c>
      <c r="G66">
        <v>140.46</v>
      </c>
      <c r="H66" t="s">
        <v>19</v>
      </c>
    </row>
    <row r="67" spans="1:8" x14ac:dyDescent="0.25">
      <c r="A67" t="s">
        <v>26</v>
      </c>
      <c r="B67">
        <v>5086</v>
      </c>
      <c r="C67" t="s">
        <v>34</v>
      </c>
      <c r="D67" t="s">
        <v>17</v>
      </c>
      <c r="E67">
        <v>9.5299999999999994</v>
      </c>
      <c r="F67" s="3">
        <v>43271.12</v>
      </c>
      <c r="G67">
        <v>72.33</v>
      </c>
      <c r="H67" t="s">
        <v>19</v>
      </c>
    </row>
    <row r="68" spans="1:8" x14ac:dyDescent="0.25">
      <c r="A68" t="s">
        <v>26</v>
      </c>
      <c r="B68">
        <v>5086</v>
      </c>
      <c r="C68" t="s">
        <v>34</v>
      </c>
      <c r="D68" t="s">
        <v>18</v>
      </c>
      <c r="E68">
        <v>5.14</v>
      </c>
      <c r="F68" s="3">
        <v>36676.589999999997</v>
      </c>
      <c r="G68">
        <v>68.819999999999993</v>
      </c>
      <c r="H68" t="s">
        <v>19</v>
      </c>
    </row>
    <row r="69" spans="1:8" x14ac:dyDescent="0.25">
      <c r="A69" t="s">
        <v>26</v>
      </c>
      <c r="B69">
        <v>5086</v>
      </c>
      <c r="C69" t="s">
        <v>34</v>
      </c>
      <c r="D69" t="s">
        <v>20</v>
      </c>
      <c r="E69">
        <v>11.07</v>
      </c>
      <c r="F69" s="3">
        <v>41680.85</v>
      </c>
      <c r="G69">
        <v>128.01</v>
      </c>
      <c r="H69" t="s">
        <v>19</v>
      </c>
    </row>
    <row r="70" spans="1:8" x14ac:dyDescent="0.25">
      <c r="A70" t="s">
        <v>26</v>
      </c>
      <c r="B70">
        <v>5086</v>
      </c>
      <c r="C70" t="s">
        <v>34</v>
      </c>
      <c r="D70" t="s">
        <v>21</v>
      </c>
      <c r="E70">
        <v>14.83</v>
      </c>
      <c r="F70" s="3">
        <v>21978.799999999999</v>
      </c>
      <c r="G70">
        <v>83.27</v>
      </c>
      <c r="H70" t="s">
        <v>19</v>
      </c>
    </row>
    <row r="71" spans="1:8" x14ac:dyDescent="0.25">
      <c r="A71" t="s">
        <v>26</v>
      </c>
      <c r="B71">
        <v>5086</v>
      </c>
      <c r="C71" t="s">
        <v>34</v>
      </c>
      <c r="D71" t="s">
        <v>22</v>
      </c>
      <c r="E71">
        <v>13.23</v>
      </c>
      <c r="F71" s="3">
        <v>14643.11</v>
      </c>
      <c r="G71">
        <v>50.54</v>
      </c>
      <c r="H71" t="s">
        <v>19</v>
      </c>
    </row>
    <row r="72" spans="1:8" x14ac:dyDescent="0.25">
      <c r="A72" t="s">
        <v>26</v>
      </c>
      <c r="B72">
        <v>5086</v>
      </c>
      <c r="C72" t="s">
        <v>34</v>
      </c>
      <c r="D72" t="s">
        <v>23</v>
      </c>
      <c r="E72">
        <v>8.33</v>
      </c>
      <c r="F72" s="3">
        <v>28485.119999999999</v>
      </c>
      <c r="G72">
        <v>143.58000000000001</v>
      </c>
      <c r="H72" t="s">
        <v>19</v>
      </c>
    </row>
    <row r="73" spans="1:8" x14ac:dyDescent="0.25">
      <c r="A73" t="s">
        <v>26</v>
      </c>
      <c r="B73">
        <v>5086</v>
      </c>
      <c r="C73" t="s">
        <v>34</v>
      </c>
      <c r="D73" t="s">
        <v>24</v>
      </c>
      <c r="E73">
        <v>13.42</v>
      </c>
      <c r="F73" s="3">
        <v>12826.36</v>
      </c>
      <c r="G73">
        <v>109.05</v>
      </c>
      <c r="H73" t="s">
        <v>19</v>
      </c>
    </row>
    <row r="74" spans="1:8" x14ac:dyDescent="0.25">
      <c r="A74" t="s">
        <v>28</v>
      </c>
      <c r="B74">
        <v>5087</v>
      </c>
      <c r="C74" t="s">
        <v>35</v>
      </c>
      <c r="D74" t="s">
        <v>8</v>
      </c>
      <c r="E74">
        <v>10.25</v>
      </c>
      <c r="F74" s="3">
        <v>14822.84</v>
      </c>
      <c r="G74">
        <v>147.31</v>
      </c>
      <c r="H74" t="s">
        <v>19</v>
      </c>
    </row>
    <row r="75" spans="1:8" x14ac:dyDescent="0.25">
      <c r="A75" t="s">
        <v>28</v>
      </c>
      <c r="B75">
        <v>5087</v>
      </c>
      <c r="C75" t="s">
        <v>35</v>
      </c>
      <c r="D75" t="s">
        <v>10</v>
      </c>
      <c r="E75">
        <v>14.21</v>
      </c>
      <c r="F75" s="3">
        <v>34529.279999999999</v>
      </c>
      <c r="G75">
        <v>105.87</v>
      </c>
      <c r="H75" t="s">
        <v>19</v>
      </c>
    </row>
    <row r="76" spans="1:8" x14ac:dyDescent="0.25">
      <c r="A76" t="s">
        <v>28</v>
      </c>
      <c r="B76">
        <v>5087</v>
      </c>
      <c r="C76" t="s">
        <v>35</v>
      </c>
      <c r="D76" t="s">
        <v>13</v>
      </c>
      <c r="E76">
        <v>5.14</v>
      </c>
      <c r="F76" s="3">
        <v>17597.36</v>
      </c>
      <c r="G76">
        <v>53.18</v>
      </c>
      <c r="H76" t="s">
        <v>19</v>
      </c>
    </row>
    <row r="77" spans="1:8" x14ac:dyDescent="0.25">
      <c r="A77" t="s">
        <v>28</v>
      </c>
      <c r="B77">
        <v>5087</v>
      </c>
      <c r="C77" t="s">
        <v>35</v>
      </c>
      <c r="D77" t="s">
        <v>15</v>
      </c>
      <c r="E77">
        <v>7.4</v>
      </c>
      <c r="F77" s="3">
        <v>48748.13</v>
      </c>
      <c r="G77">
        <v>98.69</v>
      </c>
      <c r="H77" t="s">
        <v>19</v>
      </c>
    </row>
    <row r="78" spans="1:8" x14ac:dyDescent="0.25">
      <c r="A78" t="s">
        <v>28</v>
      </c>
      <c r="B78">
        <v>5087</v>
      </c>
      <c r="C78" t="s">
        <v>35</v>
      </c>
      <c r="D78" t="s">
        <v>16</v>
      </c>
      <c r="E78">
        <v>7.4</v>
      </c>
      <c r="F78" s="3">
        <v>21667.4</v>
      </c>
      <c r="G78">
        <v>129.56</v>
      </c>
      <c r="H78" t="s">
        <v>19</v>
      </c>
    </row>
    <row r="79" spans="1:8" x14ac:dyDescent="0.25">
      <c r="A79" t="s">
        <v>28</v>
      </c>
      <c r="B79">
        <v>5087</v>
      </c>
      <c r="C79" t="s">
        <v>35</v>
      </c>
      <c r="D79" t="s">
        <v>17</v>
      </c>
      <c r="E79">
        <v>13.35</v>
      </c>
      <c r="F79" s="3">
        <v>17736.830000000002</v>
      </c>
      <c r="G79">
        <v>51.46</v>
      </c>
      <c r="H79" t="s">
        <v>19</v>
      </c>
    </row>
    <row r="80" spans="1:8" x14ac:dyDescent="0.25">
      <c r="A80" t="s">
        <v>28</v>
      </c>
      <c r="B80">
        <v>5087</v>
      </c>
      <c r="C80" t="s">
        <v>35</v>
      </c>
      <c r="D80" t="s">
        <v>18</v>
      </c>
      <c r="E80">
        <v>9.36</v>
      </c>
      <c r="F80" s="3">
        <v>23508.11</v>
      </c>
      <c r="G80">
        <v>135.08000000000001</v>
      </c>
      <c r="H80" t="s">
        <v>19</v>
      </c>
    </row>
    <row r="81" spans="1:8" x14ac:dyDescent="0.25">
      <c r="A81" t="s">
        <v>28</v>
      </c>
      <c r="B81">
        <v>5087</v>
      </c>
      <c r="C81" t="s">
        <v>35</v>
      </c>
      <c r="D81" t="s">
        <v>20</v>
      </c>
      <c r="E81">
        <v>5.5</v>
      </c>
      <c r="F81" s="3">
        <v>29621.18</v>
      </c>
      <c r="G81">
        <v>114.01</v>
      </c>
      <c r="H81" t="s">
        <v>19</v>
      </c>
    </row>
    <row r="82" spans="1:8" x14ac:dyDescent="0.25">
      <c r="A82" t="s">
        <v>28</v>
      </c>
      <c r="B82">
        <v>5087</v>
      </c>
      <c r="C82" t="s">
        <v>35</v>
      </c>
      <c r="D82" t="s">
        <v>21</v>
      </c>
      <c r="E82">
        <v>13.63</v>
      </c>
      <c r="F82" s="3">
        <v>35433.599999999999</v>
      </c>
      <c r="G82">
        <v>52.11</v>
      </c>
      <c r="H82" t="s">
        <v>19</v>
      </c>
    </row>
    <row r="83" spans="1:8" x14ac:dyDescent="0.25">
      <c r="A83" t="s">
        <v>28</v>
      </c>
      <c r="B83">
        <v>5087</v>
      </c>
      <c r="C83" t="s">
        <v>35</v>
      </c>
      <c r="D83" t="s">
        <v>22</v>
      </c>
      <c r="E83">
        <v>13.13</v>
      </c>
      <c r="F83" s="3">
        <v>33748.160000000003</v>
      </c>
      <c r="G83">
        <v>113.74</v>
      </c>
      <c r="H83" t="s">
        <v>19</v>
      </c>
    </row>
    <row r="84" spans="1:8" x14ac:dyDescent="0.25">
      <c r="A84" t="s">
        <v>28</v>
      </c>
      <c r="B84">
        <v>5087</v>
      </c>
      <c r="C84" t="s">
        <v>35</v>
      </c>
      <c r="D84" t="s">
        <v>23</v>
      </c>
      <c r="E84">
        <v>10.73</v>
      </c>
      <c r="F84" s="3">
        <v>20885.36</v>
      </c>
      <c r="G84">
        <v>76.11</v>
      </c>
      <c r="H84" t="s">
        <v>19</v>
      </c>
    </row>
    <row r="85" spans="1:8" x14ac:dyDescent="0.25">
      <c r="A85" t="s">
        <v>28</v>
      </c>
      <c r="B85">
        <v>5087</v>
      </c>
      <c r="C85" t="s">
        <v>35</v>
      </c>
      <c r="D85" t="s">
        <v>24</v>
      </c>
      <c r="E85">
        <v>8.24</v>
      </c>
      <c r="F85" s="3">
        <v>29599.85</v>
      </c>
      <c r="G85">
        <v>77.819999999999993</v>
      </c>
      <c r="H85" t="s">
        <v>19</v>
      </c>
    </row>
    <row r="86" spans="1:8" x14ac:dyDescent="0.25">
      <c r="A86" t="s">
        <v>26</v>
      </c>
      <c r="B86">
        <v>5088</v>
      </c>
      <c r="C86" t="s">
        <v>36</v>
      </c>
      <c r="D86" t="s">
        <v>8</v>
      </c>
      <c r="E86">
        <v>9.76</v>
      </c>
      <c r="F86" s="3">
        <v>43740.29</v>
      </c>
      <c r="G86">
        <v>116.48</v>
      </c>
      <c r="H86" t="s">
        <v>19</v>
      </c>
    </row>
    <row r="87" spans="1:8" x14ac:dyDescent="0.25">
      <c r="A87" t="s">
        <v>26</v>
      </c>
      <c r="B87">
        <v>5088</v>
      </c>
      <c r="C87" t="s">
        <v>36</v>
      </c>
      <c r="D87" t="s">
        <v>10</v>
      </c>
      <c r="E87">
        <v>8.51</v>
      </c>
      <c r="F87" s="3">
        <v>24922.77</v>
      </c>
      <c r="G87">
        <v>78.89</v>
      </c>
      <c r="H87" t="s">
        <v>19</v>
      </c>
    </row>
    <row r="88" spans="1:8" x14ac:dyDescent="0.25">
      <c r="A88" t="s">
        <v>26</v>
      </c>
      <c r="B88">
        <v>5088</v>
      </c>
      <c r="C88" t="s">
        <v>36</v>
      </c>
      <c r="D88" t="s">
        <v>13</v>
      </c>
      <c r="E88">
        <v>6.15</v>
      </c>
      <c r="F88" s="3">
        <v>34863.18</v>
      </c>
      <c r="G88">
        <v>71.22</v>
      </c>
      <c r="H88" t="s">
        <v>19</v>
      </c>
    </row>
    <row r="89" spans="1:8" x14ac:dyDescent="0.25">
      <c r="A89" t="s">
        <v>26</v>
      </c>
      <c r="B89">
        <v>5088</v>
      </c>
      <c r="C89" t="s">
        <v>36</v>
      </c>
      <c r="D89" t="s">
        <v>15</v>
      </c>
      <c r="E89">
        <v>6.59</v>
      </c>
      <c r="F89" s="3">
        <v>12068.11</v>
      </c>
      <c r="G89">
        <v>85.94</v>
      </c>
      <c r="H89" t="s">
        <v>19</v>
      </c>
    </row>
    <row r="90" spans="1:8" x14ac:dyDescent="0.25">
      <c r="A90" t="s">
        <v>26</v>
      </c>
      <c r="B90">
        <v>5088</v>
      </c>
      <c r="C90" t="s">
        <v>36</v>
      </c>
      <c r="D90" t="s">
        <v>16</v>
      </c>
      <c r="E90">
        <v>12.15</v>
      </c>
      <c r="F90" s="3">
        <v>44174.13</v>
      </c>
      <c r="G90">
        <v>92.1</v>
      </c>
      <c r="H90" t="s">
        <v>19</v>
      </c>
    </row>
    <row r="91" spans="1:8" x14ac:dyDescent="0.25">
      <c r="A91" t="s">
        <v>26</v>
      </c>
      <c r="B91">
        <v>5088</v>
      </c>
      <c r="C91" t="s">
        <v>36</v>
      </c>
      <c r="D91" t="s">
        <v>17</v>
      </c>
      <c r="E91">
        <v>13.25</v>
      </c>
      <c r="F91" s="3">
        <v>33925.18</v>
      </c>
      <c r="G91">
        <v>51.32</v>
      </c>
      <c r="H91" t="s">
        <v>19</v>
      </c>
    </row>
    <row r="92" spans="1:8" x14ac:dyDescent="0.25">
      <c r="A92" t="s">
        <v>26</v>
      </c>
      <c r="B92">
        <v>5088</v>
      </c>
      <c r="C92" t="s">
        <v>36</v>
      </c>
      <c r="D92" t="s">
        <v>18</v>
      </c>
      <c r="E92">
        <v>9.75</v>
      </c>
      <c r="F92" s="3">
        <v>45587.54</v>
      </c>
      <c r="G92">
        <v>50.73</v>
      </c>
      <c r="H92" t="s">
        <v>19</v>
      </c>
    </row>
    <row r="93" spans="1:8" x14ac:dyDescent="0.25">
      <c r="A93" t="s">
        <v>26</v>
      </c>
      <c r="B93">
        <v>5088</v>
      </c>
      <c r="C93" t="s">
        <v>36</v>
      </c>
      <c r="D93" t="s">
        <v>20</v>
      </c>
      <c r="E93">
        <v>9.3699999999999992</v>
      </c>
      <c r="F93" s="3">
        <v>38132.46</v>
      </c>
      <c r="G93">
        <v>55.97</v>
      </c>
      <c r="H93" t="s">
        <v>19</v>
      </c>
    </row>
    <row r="94" spans="1:8" x14ac:dyDescent="0.25">
      <c r="A94" t="s">
        <v>26</v>
      </c>
      <c r="B94">
        <v>5088</v>
      </c>
      <c r="C94" t="s">
        <v>36</v>
      </c>
      <c r="D94" t="s">
        <v>21</v>
      </c>
      <c r="E94">
        <v>8.6999999999999993</v>
      </c>
      <c r="F94" s="3">
        <v>24667.06</v>
      </c>
      <c r="G94">
        <v>124.61</v>
      </c>
      <c r="H94" t="s">
        <v>19</v>
      </c>
    </row>
    <row r="95" spans="1:8" x14ac:dyDescent="0.25">
      <c r="A95" t="s">
        <v>26</v>
      </c>
      <c r="B95">
        <v>5088</v>
      </c>
      <c r="C95" t="s">
        <v>36</v>
      </c>
      <c r="D95" t="s">
        <v>22</v>
      </c>
      <c r="E95">
        <v>9.59</v>
      </c>
      <c r="F95" s="3">
        <v>38184.75</v>
      </c>
      <c r="G95">
        <v>105.5</v>
      </c>
      <c r="H95" t="s">
        <v>19</v>
      </c>
    </row>
    <row r="96" spans="1:8" x14ac:dyDescent="0.25">
      <c r="A96" t="s">
        <v>26</v>
      </c>
      <c r="B96">
        <v>5088</v>
      </c>
      <c r="C96" t="s">
        <v>36</v>
      </c>
      <c r="D96" t="s">
        <v>23</v>
      </c>
      <c r="E96">
        <v>7.59</v>
      </c>
      <c r="F96" s="3">
        <v>49632.34</v>
      </c>
      <c r="G96">
        <v>65.62</v>
      </c>
      <c r="H96" t="s">
        <v>19</v>
      </c>
    </row>
    <row r="97" spans="1:8" x14ac:dyDescent="0.25">
      <c r="A97" t="s">
        <v>26</v>
      </c>
      <c r="B97">
        <v>5088</v>
      </c>
      <c r="C97" t="s">
        <v>36</v>
      </c>
      <c r="D97" t="s">
        <v>24</v>
      </c>
      <c r="E97">
        <v>12.11</v>
      </c>
      <c r="F97" s="3">
        <v>47124.14</v>
      </c>
      <c r="G97">
        <v>52.35</v>
      </c>
      <c r="H97" t="s">
        <v>19</v>
      </c>
    </row>
    <row r="98" spans="1:8" x14ac:dyDescent="0.25">
      <c r="A98" t="s">
        <v>30</v>
      </c>
      <c r="B98">
        <v>5089</v>
      </c>
      <c r="C98" t="s">
        <v>37</v>
      </c>
      <c r="D98" t="s">
        <v>8</v>
      </c>
      <c r="E98">
        <v>11.38</v>
      </c>
      <c r="F98" s="3">
        <v>40935.85</v>
      </c>
      <c r="G98">
        <v>140.97999999999999</v>
      </c>
      <c r="H98" t="s">
        <v>19</v>
      </c>
    </row>
    <row r="99" spans="1:8" x14ac:dyDescent="0.25">
      <c r="A99" t="s">
        <v>30</v>
      </c>
      <c r="B99">
        <v>5089</v>
      </c>
      <c r="C99" t="s">
        <v>37</v>
      </c>
      <c r="D99" t="s">
        <v>10</v>
      </c>
      <c r="E99">
        <v>14.31</v>
      </c>
      <c r="F99" s="3">
        <v>37429.49</v>
      </c>
      <c r="G99">
        <v>128.51</v>
      </c>
      <c r="H99" t="s">
        <v>19</v>
      </c>
    </row>
    <row r="100" spans="1:8" x14ac:dyDescent="0.25">
      <c r="A100" t="s">
        <v>30</v>
      </c>
      <c r="B100">
        <v>5089</v>
      </c>
      <c r="C100" t="s">
        <v>37</v>
      </c>
      <c r="D100" t="s">
        <v>13</v>
      </c>
      <c r="E100">
        <v>13.88</v>
      </c>
      <c r="F100" s="3">
        <v>46327.68</v>
      </c>
      <c r="G100">
        <v>116.82</v>
      </c>
      <c r="H100" t="s">
        <v>19</v>
      </c>
    </row>
    <row r="101" spans="1:8" x14ac:dyDescent="0.25">
      <c r="A101" t="s">
        <v>30</v>
      </c>
      <c r="B101">
        <v>5089</v>
      </c>
      <c r="C101" t="s">
        <v>37</v>
      </c>
      <c r="D101" t="s">
        <v>15</v>
      </c>
      <c r="E101">
        <v>7.44</v>
      </c>
      <c r="F101" s="3">
        <v>29888.32</v>
      </c>
      <c r="G101">
        <v>97.45</v>
      </c>
      <c r="H101" t="s">
        <v>19</v>
      </c>
    </row>
    <row r="102" spans="1:8" x14ac:dyDescent="0.25">
      <c r="A102" t="s">
        <v>30</v>
      </c>
      <c r="B102">
        <v>5089</v>
      </c>
      <c r="C102" t="s">
        <v>37</v>
      </c>
      <c r="D102" t="s">
        <v>16</v>
      </c>
      <c r="E102">
        <v>12.56</v>
      </c>
      <c r="F102" s="3">
        <v>43031.44</v>
      </c>
      <c r="G102">
        <v>124.7</v>
      </c>
      <c r="H102" t="s">
        <v>19</v>
      </c>
    </row>
    <row r="103" spans="1:8" x14ac:dyDescent="0.25">
      <c r="A103" t="s">
        <v>30</v>
      </c>
      <c r="B103">
        <v>5089</v>
      </c>
      <c r="C103" t="s">
        <v>37</v>
      </c>
      <c r="D103" t="s">
        <v>17</v>
      </c>
      <c r="E103">
        <v>14.32</v>
      </c>
      <c r="F103" s="3">
        <v>31407.23</v>
      </c>
      <c r="G103">
        <v>106.03</v>
      </c>
      <c r="H103" t="s">
        <v>19</v>
      </c>
    </row>
    <row r="104" spans="1:8" x14ac:dyDescent="0.25">
      <c r="A104" t="s">
        <v>30</v>
      </c>
      <c r="B104">
        <v>5089</v>
      </c>
      <c r="C104" t="s">
        <v>37</v>
      </c>
      <c r="D104" t="s">
        <v>18</v>
      </c>
      <c r="E104">
        <v>11.92</v>
      </c>
      <c r="F104" s="3">
        <v>28908.14</v>
      </c>
      <c r="G104">
        <v>81.8</v>
      </c>
      <c r="H104" t="s">
        <v>19</v>
      </c>
    </row>
    <row r="105" spans="1:8" x14ac:dyDescent="0.25">
      <c r="A105" t="s">
        <v>30</v>
      </c>
      <c r="B105">
        <v>5089</v>
      </c>
      <c r="C105" t="s">
        <v>37</v>
      </c>
      <c r="D105" t="s">
        <v>20</v>
      </c>
      <c r="E105">
        <v>5.43</v>
      </c>
      <c r="F105" s="3">
        <v>30283.439999999999</v>
      </c>
      <c r="G105">
        <v>119.46</v>
      </c>
      <c r="H105" t="s">
        <v>19</v>
      </c>
    </row>
    <row r="106" spans="1:8" x14ac:dyDescent="0.25">
      <c r="A106" t="s">
        <v>30</v>
      </c>
      <c r="B106">
        <v>5089</v>
      </c>
      <c r="C106" t="s">
        <v>37</v>
      </c>
      <c r="D106" t="s">
        <v>21</v>
      </c>
      <c r="E106">
        <v>5.97</v>
      </c>
      <c r="F106" s="3">
        <v>19821.900000000001</v>
      </c>
      <c r="G106">
        <v>108.17</v>
      </c>
      <c r="H106" t="s">
        <v>19</v>
      </c>
    </row>
    <row r="107" spans="1:8" x14ac:dyDescent="0.25">
      <c r="A107" t="s">
        <v>30</v>
      </c>
      <c r="B107">
        <v>5089</v>
      </c>
      <c r="C107" t="s">
        <v>37</v>
      </c>
      <c r="D107" t="s">
        <v>22</v>
      </c>
      <c r="E107">
        <v>5.34</v>
      </c>
      <c r="F107" s="3">
        <v>10220.23</v>
      </c>
      <c r="G107">
        <v>117.45</v>
      </c>
      <c r="H107" t="s">
        <v>19</v>
      </c>
    </row>
    <row r="108" spans="1:8" x14ac:dyDescent="0.25">
      <c r="A108" t="s">
        <v>30</v>
      </c>
      <c r="B108">
        <v>5089</v>
      </c>
      <c r="C108" t="s">
        <v>37</v>
      </c>
      <c r="D108" t="s">
        <v>23</v>
      </c>
      <c r="E108">
        <v>5.58</v>
      </c>
      <c r="F108" s="3">
        <v>46906.45</v>
      </c>
      <c r="G108">
        <v>146.44999999999999</v>
      </c>
      <c r="H108" t="s">
        <v>19</v>
      </c>
    </row>
    <row r="109" spans="1:8" x14ac:dyDescent="0.25">
      <c r="A109" t="s">
        <v>30</v>
      </c>
      <c r="B109">
        <v>5089</v>
      </c>
      <c r="C109" t="s">
        <v>37</v>
      </c>
      <c r="D109" t="s">
        <v>24</v>
      </c>
      <c r="E109">
        <v>12.88</v>
      </c>
      <c r="F109" s="3">
        <v>41684.870000000003</v>
      </c>
      <c r="G109">
        <v>104.12</v>
      </c>
      <c r="H109" t="s">
        <v>19</v>
      </c>
    </row>
    <row r="110" spans="1:8" x14ac:dyDescent="0.25">
      <c r="A110" t="s">
        <v>30</v>
      </c>
      <c r="B110">
        <v>5120</v>
      </c>
      <c r="C110" t="s">
        <v>38</v>
      </c>
      <c r="D110" t="s">
        <v>8</v>
      </c>
      <c r="E110">
        <v>9.4499999999999993</v>
      </c>
      <c r="F110" s="3">
        <v>35146.68</v>
      </c>
      <c r="G110">
        <v>117.15</v>
      </c>
      <c r="H110" t="s">
        <v>19</v>
      </c>
    </row>
    <row r="111" spans="1:8" x14ac:dyDescent="0.25">
      <c r="A111" t="s">
        <v>30</v>
      </c>
      <c r="B111">
        <v>5120</v>
      </c>
      <c r="C111" t="s">
        <v>38</v>
      </c>
      <c r="D111" t="s">
        <v>10</v>
      </c>
      <c r="E111">
        <v>11.49</v>
      </c>
      <c r="F111" s="3">
        <v>36211.5</v>
      </c>
      <c r="G111">
        <v>77.209999999999994</v>
      </c>
      <c r="H111" t="s">
        <v>19</v>
      </c>
    </row>
    <row r="112" spans="1:8" x14ac:dyDescent="0.25">
      <c r="A112" t="s">
        <v>30</v>
      </c>
      <c r="B112">
        <v>5120</v>
      </c>
      <c r="C112" t="s">
        <v>38</v>
      </c>
      <c r="D112" t="s">
        <v>13</v>
      </c>
      <c r="E112">
        <v>13.58</v>
      </c>
      <c r="F112" s="3">
        <v>20310.810000000001</v>
      </c>
      <c r="G112">
        <v>127.04</v>
      </c>
      <c r="H112" t="s">
        <v>19</v>
      </c>
    </row>
    <row r="113" spans="1:8" x14ac:dyDescent="0.25">
      <c r="A113" t="s">
        <v>30</v>
      </c>
      <c r="B113">
        <v>5120</v>
      </c>
      <c r="C113" t="s">
        <v>38</v>
      </c>
      <c r="D113" t="s">
        <v>15</v>
      </c>
      <c r="E113">
        <v>6.66</v>
      </c>
      <c r="F113" s="3">
        <v>12609.27</v>
      </c>
      <c r="G113">
        <v>122.15</v>
      </c>
      <c r="H113" t="s">
        <v>19</v>
      </c>
    </row>
    <row r="114" spans="1:8" x14ac:dyDescent="0.25">
      <c r="A114" t="s">
        <v>30</v>
      </c>
      <c r="B114">
        <v>5120</v>
      </c>
      <c r="C114" t="s">
        <v>38</v>
      </c>
      <c r="D114" t="s">
        <v>16</v>
      </c>
      <c r="E114">
        <v>6.22</v>
      </c>
      <c r="F114" s="3">
        <v>42708.06</v>
      </c>
      <c r="G114">
        <v>64.53</v>
      </c>
      <c r="H114" t="s">
        <v>19</v>
      </c>
    </row>
    <row r="115" spans="1:8" x14ac:dyDescent="0.25">
      <c r="A115" t="s">
        <v>30</v>
      </c>
      <c r="B115">
        <v>5120</v>
      </c>
      <c r="C115" t="s">
        <v>38</v>
      </c>
      <c r="D115" t="s">
        <v>17</v>
      </c>
      <c r="E115">
        <v>6.85</v>
      </c>
      <c r="F115" s="3">
        <v>19142.36</v>
      </c>
      <c r="G115">
        <v>70.319999999999993</v>
      </c>
      <c r="H115" t="s">
        <v>19</v>
      </c>
    </row>
    <row r="116" spans="1:8" x14ac:dyDescent="0.25">
      <c r="A116" t="s">
        <v>30</v>
      </c>
      <c r="B116">
        <v>5120</v>
      </c>
      <c r="C116" t="s">
        <v>38</v>
      </c>
      <c r="D116" t="s">
        <v>18</v>
      </c>
      <c r="E116">
        <v>5.03</v>
      </c>
      <c r="F116" s="3">
        <v>14203.09</v>
      </c>
      <c r="G116">
        <v>62.82</v>
      </c>
      <c r="H116" t="s">
        <v>19</v>
      </c>
    </row>
    <row r="117" spans="1:8" x14ac:dyDescent="0.25">
      <c r="A117" t="s">
        <v>30</v>
      </c>
      <c r="B117">
        <v>5120</v>
      </c>
      <c r="C117" t="s">
        <v>38</v>
      </c>
      <c r="D117" t="s">
        <v>20</v>
      </c>
      <c r="E117">
        <v>11.93</v>
      </c>
      <c r="F117" s="3">
        <v>15746.29</v>
      </c>
      <c r="G117">
        <v>145.69</v>
      </c>
      <c r="H117" t="s">
        <v>19</v>
      </c>
    </row>
    <row r="118" spans="1:8" x14ac:dyDescent="0.25">
      <c r="A118" t="s">
        <v>30</v>
      </c>
      <c r="B118">
        <v>5120</v>
      </c>
      <c r="C118" t="s">
        <v>38</v>
      </c>
      <c r="D118" t="s">
        <v>21</v>
      </c>
      <c r="E118">
        <v>13.53</v>
      </c>
      <c r="F118" s="3">
        <v>45497.279999999999</v>
      </c>
      <c r="G118">
        <v>83.9</v>
      </c>
      <c r="H118" t="s">
        <v>19</v>
      </c>
    </row>
    <row r="119" spans="1:8" x14ac:dyDescent="0.25">
      <c r="A119" t="s">
        <v>30</v>
      </c>
      <c r="B119">
        <v>5120</v>
      </c>
      <c r="C119" t="s">
        <v>38</v>
      </c>
      <c r="D119" t="s">
        <v>22</v>
      </c>
      <c r="E119">
        <v>5.29</v>
      </c>
      <c r="F119" s="3">
        <v>38006.69</v>
      </c>
      <c r="G119">
        <v>59.71</v>
      </c>
      <c r="H119" t="s">
        <v>19</v>
      </c>
    </row>
    <row r="120" spans="1:8" x14ac:dyDescent="0.25">
      <c r="A120" t="s">
        <v>30</v>
      </c>
      <c r="B120">
        <v>5120</v>
      </c>
      <c r="C120" t="s">
        <v>38</v>
      </c>
      <c r="D120" t="s">
        <v>23</v>
      </c>
      <c r="E120">
        <v>8.82</v>
      </c>
      <c r="F120" s="3">
        <v>21401.89</v>
      </c>
      <c r="G120">
        <v>102.78</v>
      </c>
      <c r="H120" t="s">
        <v>19</v>
      </c>
    </row>
    <row r="121" spans="1:8" x14ac:dyDescent="0.25">
      <c r="A121" t="s">
        <v>30</v>
      </c>
      <c r="B121">
        <v>5120</v>
      </c>
      <c r="C121" t="s">
        <v>38</v>
      </c>
      <c r="D121" t="s">
        <v>24</v>
      </c>
      <c r="E121">
        <v>12.24</v>
      </c>
      <c r="F121" s="3">
        <v>43479.19</v>
      </c>
      <c r="G121">
        <v>130.13999999999999</v>
      </c>
      <c r="H121" t="s">
        <v>19</v>
      </c>
    </row>
    <row r="122" spans="1:8" x14ac:dyDescent="0.25">
      <c r="A122" t="s">
        <v>30</v>
      </c>
      <c r="B122">
        <v>5221</v>
      </c>
      <c r="C122" t="s">
        <v>39</v>
      </c>
      <c r="D122" t="s">
        <v>8</v>
      </c>
      <c r="E122">
        <v>11.85</v>
      </c>
      <c r="F122" s="3">
        <v>43946.73</v>
      </c>
      <c r="G122">
        <v>128.91999999999999</v>
      </c>
      <c r="H122" t="s">
        <v>19</v>
      </c>
    </row>
    <row r="123" spans="1:8" x14ac:dyDescent="0.25">
      <c r="A123" t="s">
        <v>30</v>
      </c>
      <c r="B123">
        <v>5221</v>
      </c>
      <c r="C123" t="s">
        <v>39</v>
      </c>
      <c r="D123" t="s">
        <v>10</v>
      </c>
      <c r="E123">
        <v>14.3</v>
      </c>
      <c r="F123" s="3">
        <v>18944.88</v>
      </c>
      <c r="G123">
        <v>66.849999999999994</v>
      </c>
      <c r="H123" t="s">
        <v>19</v>
      </c>
    </row>
    <row r="124" spans="1:8" x14ac:dyDescent="0.25">
      <c r="A124" t="s">
        <v>30</v>
      </c>
      <c r="B124">
        <v>5221</v>
      </c>
      <c r="C124" t="s">
        <v>39</v>
      </c>
      <c r="D124" t="s">
        <v>13</v>
      </c>
      <c r="E124">
        <v>12.41</v>
      </c>
      <c r="F124" s="3">
        <v>30963.84</v>
      </c>
      <c r="G124">
        <v>121.85</v>
      </c>
      <c r="H124" t="s">
        <v>19</v>
      </c>
    </row>
    <row r="125" spans="1:8" x14ac:dyDescent="0.25">
      <c r="A125" t="s">
        <v>30</v>
      </c>
      <c r="B125">
        <v>5221</v>
      </c>
      <c r="C125" t="s">
        <v>39</v>
      </c>
      <c r="D125" t="s">
        <v>15</v>
      </c>
      <c r="E125">
        <v>12.88</v>
      </c>
      <c r="F125" s="3">
        <v>45347.14</v>
      </c>
      <c r="G125">
        <v>118.79</v>
      </c>
      <c r="H125" t="s">
        <v>19</v>
      </c>
    </row>
    <row r="126" spans="1:8" x14ac:dyDescent="0.25">
      <c r="A126" t="s">
        <v>30</v>
      </c>
      <c r="B126">
        <v>5221</v>
      </c>
      <c r="C126" t="s">
        <v>39</v>
      </c>
      <c r="D126" t="s">
        <v>16</v>
      </c>
      <c r="E126">
        <v>5.97</v>
      </c>
      <c r="F126" s="3">
        <v>48614.6</v>
      </c>
      <c r="G126">
        <v>134.33000000000001</v>
      </c>
      <c r="H126" t="s">
        <v>19</v>
      </c>
    </row>
    <row r="127" spans="1:8" x14ac:dyDescent="0.25">
      <c r="A127" t="s">
        <v>30</v>
      </c>
      <c r="B127">
        <v>5221</v>
      </c>
      <c r="C127" t="s">
        <v>39</v>
      </c>
      <c r="D127" t="s">
        <v>17</v>
      </c>
      <c r="E127">
        <v>9.24</v>
      </c>
      <c r="F127" s="3">
        <v>30347.8</v>
      </c>
      <c r="G127">
        <v>128.22999999999999</v>
      </c>
      <c r="H127" t="s">
        <v>19</v>
      </c>
    </row>
    <row r="128" spans="1:8" x14ac:dyDescent="0.25">
      <c r="A128" t="s">
        <v>30</v>
      </c>
      <c r="B128">
        <v>5221</v>
      </c>
      <c r="C128" t="s">
        <v>39</v>
      </c>
      <c r="D128" t="s">
        <v>18</v>
      </c>
      <c r="E128">
        <v>6.82</v>
      </c>
      <c r="F128" s="3">
        <v>36120.89</v>
      </c>
      <c r="G128">
        <v>85.23</v>
      </c>
      <c r="H128" t="s">
        <v>19</v>
      </c>
    </row>
    <row r="129" spans="1:8" x14ac:dyDescent="0.25">
      <c r="A129" t="s">
        <v>30</v>
      </c>
      <c r="B129">
        <v>5221</v>
      </c>
      <c r="C129" t="s">
        <v>39</v>
      </c>
      <c r="D129" t="s">
        <v>20</v>
      </c>
      <c r="E129">
        <v>11.31</v>
      </c>
      <c r="F129" s="3">
        <v>20363.63</v>
      </c>
      <c r="G129">
        <v>120.14</v>
      </c>
      <c r="H129" t="s">
        <v>19</v>
      </c>
    </row>
    <row r="130" spans="1:8" x14ac:dyDescent="0.25">
      <c r="A130" t="s">
        <v>30</v>
      </c>
      <c r="B130">
        <v>5221</v>
      </c>
      <c r="C130" t="s">
        <v>39</v>
      </c>
      <c r="D130" t="s">
        <v>21</v>
      </c>
      <c r="E130">
        <v>6.99</v>
      </c>
      <c r="F130" s="3">
        <v>31992.7</v>
      </c>
      <c r="G130">
        <v>85.89</v>
      </c>
      <c r="H130" t="s">
        <v>19</v>
      </c>
    </row>
    <row r="131" spans="1:8" x14ac:dyDescent="0.25">
      <c r="A131" t="s">
        <v>30</v>
      </c>
      <c r="B131">
        <v>5221</v>
      </c>
      <c r="C131" t="s">
        <v>39</v>
      </c>
      <c r="D131" t="s">
        <v>22</v>
      </c>
      <c r="E131">
        <v>8.8000000000000007</v>
      </c>
      <c r="F131" s="3">
        <v>36345.31</v>
      </c>
      <c r="G131">
        <v>85.98</v>
      </c>
      <c r="H131" t="s">
        <v>19</v>
      </c>
    </row>
    <row r="132" spans="1:8" x14ac:dyDescent="0.25">
      <c r="A132" t="s">
        <v>30</v>
      </c>
      <c r="B132">
        <v>5221</v>
      </c>
      <c r="C132" t="s">
        <v>39</v>
      </c>
      <c r="D132" t="s">
        <v>23</v>
      </c>
      <c r="E132">
        <v>12.35</v>
      </c>
      <c r="F132" s="3">
        <v>44565.06</v>
      </c>
      <c r="G132">
        <v>80.63</v>
      </c>
      <c r="H132" t="s">
        <v>19</v>
      </c>
    </row>
    <row r="133" spans="1:8" x14ac:dyDescent="0.25">
      <c r="A133" t="s">
        <v>30</v>
      </c>
      <c r="B133">
        <v>5221</v>
      </c>
      <c r="C133" t="s">
        <v>39</v>
      </c>
      <c r="D133" t="s">
        <v>24</v>
      </c>
      <c r="E133">
        <v>11.62</v>
      </c>
      <c r="F133" s="3">
        <v>21626.23</v>
      </c>
      <c r="G133">
        <v>56.31</v>
      </c>
      <c r="H133" t="s">
        <v>19</v>
      </c>
    </row>
    <row r="134" spans="1:8" x14ac:dyDescent="0.25">
      <c r="A134" t="s">
        <v>26</v>
      </c>
      <c r="B134">
        <v>5250</v>
      </c>
      <c r="C134" t="s">
        <v>40</v>
      </c>
      <c r="D134" t="s">
        <v>8</v>
      </c>
      <c r="E134">
        <v>14.1</v>
      </c>
      <c r="F134" s="3">
        <v>48102.34</v>
      </c>
      <c r="G134">
        <v>148.91999999999999</v>
      </c>
      <c r="H134" t="s">
        <v>19</v>
      </c>
    </row>
    <row r="135" spans="1:8" x14ac:dyDescent="0.25">
      <c r="A135" t="s">
        <v>26</v>
      </c>
      <c r="B135">
        <v>5250</v>
      </c>
      <c r="C135" t="s">
        <v>40</v>
      </c>
      <c r="D135" t="s">
        <v>10</v>
      </c>
      <c r="E135">
        <v>5.75</v>
      </c>
      <c r="F135" s="3">
        <v>35668.67</v>
      </c>
      <c r="G135">
        <v>138.13999999999999</v>
      </c>
      <c r="H135" t="s">
        <v>19</v>
      </c>
    </row>
    <row r="136" spans="1:8" x14ac:dyDescent="0.25">
      <c r="A136" t="s">
        <v>26</v>
      </c>
      <c r="B136">
        <v>5250</v>
      </c>
      <c r="C136" t="s">
        <v>40</v>
      </c>
      <c r="D136" t="s">
        <v>13</v>
      </c>
      <c r="E136">
        <v>12.58</v>
      </c>
      <c r="F136" s="3">
        <v>39258.089999999997</v>
      </c>
      <c r="G136">
        <v>98.32</v>
      </c>
      <c r="H136" t="s">
        <v>19</v>
      </c>
    </row>
    <row r="137" spans="1:8" x14ac:dyDescent="0.25">
      <c r="A137" t="s">
        <v>26</v>
      </c>
      <c r="B137">
        <v>5250</v>
      </c>
      <c r="C137" t="s">
        <v>40</v>
      </c>
      <c r="D137" t="s">
        <v>15</v>
      </c>
      <c r="E137">
        <v>7.9</v>
      </c>
      <c r="F137" s="3">
        <v>46431.76</v>
      </c>
      <c r="G137">
        <v>109.2</v>
      </c>
      <c r="H137" t="s">
        <v>19</v>
      </c>
    </row>
    <row r="138" spans="1:8" x14ac:dyDescent="0.25">
      <c r="A138" t="s">
        <v>26</v>
      </c>
      <c r="B138">
        <v>5250</v>
      </c>
      <c r="C138" t="s">
        <v>40</v>
      </c>
      <c r="D138" t="s">
        <v>16</v>
      </c>
      <c r="E138">
        <v>9.3800000000000008</v>
      </c>
      <c r="F138" s="3">
        <v>43146.06</v>
      </c>
      <c r="G138">
        <v>69.33</v>
      </c>
      <c r="H138" t="s">
        <v>19</v>
      </c>
    </row>
    <row r="139" spans="1:8" x14ac:dyDescent="0.25">
      <c r="A139" t="s">
        <v>26</v>
      </c>
      <c r="B139">
        <v>5250</v>
      </c>
      <c r="C139" t="s">
        <v>40</v>
      </c>
      <c r="D139" t="s">
        <v>17</v>
      </c>
      <c r="E139">
        <v>8.01</v>
      </c>
      <c r="F139" s="3">
        <v>33219.519999999997</v>
      </c>
      <c r="G139">
        <v>82</v>
      </c>
      <c r="H139" t="s">
        <v>19</v>
      </c>
    </row>
    <row r="140" spans="1:8" x14ac:dyDescent="0.25">
      <c r="A140" t="s">
        <v>26</v>
      </c>
      <c r="B140">
        <v>5250</v>
      </c>
      <c r="C140" t="s">
        <v>40</v>
      </c>
      <c r="D140" t="s">
        <v>18</v>
      </c>
      <c r="E140">
        <v>14.92</v>
      </c>
      <c r="F140" s="3">
        <v>22815.919999999998</v>
      </c>
      <c r="G140">
        <v>64.819999999999993</v>
      </c>
      <c r="H140" t="s">
        <v>19</v>
      </c>
    </row>
    <row r="141" spans="1:8" x14ac:dyDescent="0.25">
      <c r="A141" t="s">
        <v>26</v>
      </c>
      <c r="B141">
        <v>5250</v>
      </c>
      <c r="C141" t="s">
        <v>40</v>
      </c>
      <c r="D141" t="s">
        <v>20</v>
      </c>
      <c r="E141">
        <v>13.11</v>
      </c>
      <c r="F141" s="3">
        <v>49118.57</v>
      </c>
      <c r="G141">
        <v>126.91</v>
      </c>
      <c r="H141" t="s">
        <v>19</v>
      </c>
    </row>
    <row r="142" spans="1:8" x14ac:dyDescent="0.25">
      <c r="A142" t="s">
        <v>26</v>
      </c>
      <c r="B142">
        <v>5250</v>
      </c>
      <c r="C142" t="s">
        <v>40</v>
      </c>
      <c r="D142" t="s">
        <v>21</v>
      </c>
      <c r="E142">
        <v>7.15</v>
      </c>
      <c r="F142" s="3">
        <v>27215.88</v>
      </c>
      <c r="G142">
        <v>69.739999999999995</v>
      </c>
      <c r="H142" t="s">
        <v>19</v>
      </c>
    </row>
    <row r="143" spans="1:8" x14ac:dyDescent="0.25">
      <c r="A143" t="s">
        <v>26</v>
      </c>
      <c r="B143">
        <v>5250</v>
      </c>
      <c r="C143" t="s">
        <v>40</v>
      </c>
      <c r="D143" t="s">
        <v>22</v>
      </c>
      <c r="E143">
        <v>6</v>
      </c>
      <c r="F143" s="3">
        <v>29327.4</v>
      </c>
      <c r="G143">
        <v>124.77</v>
      </c>
      <c r="H143" t="s">
        <v>19</v>
      </c>
    </row>
    <row r="144" spans="1:8" x14ac:dyDescent="0.25">
      <c r="A144" t="s">
        <v>26</v>
      </c>
      <c r="B144">
        <v>5250</v>
      </c>
      <c r="C144" t="s">
        <v>40</v>
      </c>
      <c r="D144" t="s">
        <v>23</v>
      </c>
      <c r="E144">
        <v>6.1</v>
      </c>
      <c r="F144" s="3">
        <v>36890.629999999997</v>
      </c>
      <c r="G144">
        <v>115.88</v>
      </c>
      <c r="H144" t="s">
        <v>19</v>
      </c>
    </row>
    <row r="145" spans="1:8" x14ac:dyDescent="0.25">
      <c r="A145" t="s">
        <v>26</v>
      </c>
      <c r="B145">
        <v>5250</v>
      </c>
      <c r="C145" t="s">
        <v>40</v>
      </c>
      <c r="D145" t="s">
        <v>24</v>
      </c>
      <c r="E145">
        <v>9.8000000000000007</v>
      </c>
      <c r="F145" s="3">
        <v>29155.52</v>
      </c>
      <c r="G145">
        <v>91.56</v>
      </c>
      <c r="H145" t="s">
        <v>19</v>
      </c>
    </row>
    <row r="146" spans="1:8" x14ac:dyDescent="0.25">
      <c r="A146" t="s">
        <v>28</v>
      </c>
      <c r="B146">
        <v>5639</v>
      </c>
      <c r="C146" t="s">
        <v>41</v>
      </c>
      <c r="D146" t="s">
        <v>8</v>
      </c>
      <c r="E146">
        <v>6.71</v>
      </c>
      <c r="F146" s="3">
        <v>27602.14</v>
      </c>
      <c r="G146">
        <v>62.48</v>
      </c>
      <c r="H146" t="s">
        <v>19</v>
      </c>
    </row>
    <row r="147" spans="1:8" x14ac:dyDescent="0.25">
      <c r="A147" t="s">
        <v>28</v>
      </c>
      <c r="B147">
        <v>5639</v>
      </c>
      <c r="C147" t="s">
        <v>41</v>
      </c>
      <c r="D147" t="s">
        <v>10</v>
      </c>
      <c r="E147">
        <v>10.65</v>
      </c>
      <c r="F147" s="3">
        <v>40167.050000000003</v>
      </c>
      <c r="G147">
        <v>107.14</v>
      </c>
      <c r="H147" t="s">
        <v>19</v>
      </c>
    </row>
    <row r="148" spans="1:8" x14ac:dyDescent="0.25">
      <c r="A148" t="s">
        <v>28</v>
      </c>
      <c r="B148">
        <v>5639</v>
      </c>
      <c r="C148" t="s">
        <v>41</v>
      </c>
      <c r="D148" t="s">
        <v>13</v>
      </c>
      <c r="E148">
        <v>10.56</v>
      </c>
      <c r="F148" s="3">
        <v>28316.12</v>
      </c>
      <c r="G148">
        <v>82.79</v>
      </c>
      <c r="H148" t="s">
        <v>19</v>
      </c>
    </row>
    <row r="149" spans="1:8" x14ac:dyDescent="0.25">
      <c r="A149" t="s">
        <v>28</v>
      </c>
      <c r="B149">
        <v>5639</v>
      </c>
      <c r="C149" t="s">
        <v>41</v>
      </c>
      <c r="D149" t="s">
        <v>15</v>
      </c>
      <c r="E149">
        <v>7.55</v>
      </c>
      <c r="F149" s="3">
        <v>13877.02</v>
      </c>
      <c r="G149">
        <v>126.27</v>
      </c>
      <c r="H149" t="s">
        <v>19</v>
      </c>
    </row>
    <row r="150" spans="1:8" x14ac:dyDescent="0.25">
      <c r="A150" t="s">
        <v>28</v>
      </c>
      <c r="B150">
        <v>5639</v>
      </c>
      <c r="C150" t="s">
        <v>41</v>
      </c>
      <c r="D150" t="s">
        <v>16</v>
      </c>
      <c r="E150">
        <v>5.87</v>
      </c>
      <c r="F150" s="3">
        <v>16173.73</v>
      </c>
      <c r="G150">
        <v>60.47</v>
      </c>
      <c r="H150" t="s">
        <v>19</v>
      </c>
    </row>
    <row r="151" spans="1:8" x14ac:dyDescent="0.25">
      <c r="A151" t="s">
        <v>28</v>
      </c>
      <c r="B151">
        <v>5639</v>
      </c>
      <c r="C151" t="s">
        <v>41</v>
      </c>
      <c r="D151" t="s">
        <v>17</v>
      </c>
      <c r="E151">
        <v>13.13</v>
      </c>
      <c r="F151" s="3">
        <v>28130.42</v>
      </c>
      <c r="G151">
        <v>79.150000000000006</v>
      </c>
      <c r="H151" t="s">
        <v>19</v>
      </c>
    </row>
    <row r="152" spans="1:8" x14ac:dyDescent="0.25">
      <c r="A152" t="s">
        <v>28</v>
      </c>
      <c r="B152">
        <v>5639</v>
      </c>
      <c r="C152" t="s">
        <v>41</v>
      </c>
      <c r="D152" t="s">
        <v>18</v>
      </c>
      <c r="E152">
        <v>13.28</v>
      </c>
      <c r="F152" s="3">
        <v>47457.59</v>
      </c>
      <c r="G152">
        <v>110.8</v>
      </c>
      <c r="H152" t="s">
        <v>19</v>
      </c>
    </row>
    <row r="153" spans="1:8" x14ac:dyDescent="0.25">
      <c r="A153" t="s">
        <v>28</v>
      </c>
      <c r="B153">
        <v>5639</v>
      </c>
      <c r="C153" t="s">
        <v>41</v>
      </c>
      <c r="D153" t="s">
        <v>20</v>
      </c>
      <c r="E153">
        <v>12.41</v>
      </c>
      <c r="F153" s="3">
        <v>29590.06</v>
      </c>
      <c r="G153">
        <v>83.49</v>
      </c>
      <c r="H153" t="s">
        <v>19</v>
      </c>
    </row>
    <row r="154" spans="1:8" x14ac:dyDescent="0.25">
      <c r="A154" t="s">
        <v>28</v>
      </c>
      <c r="B154">
        <v>5639</v>
      </c>
      <c r="C154" t="s">
        <v>41</v>
      </c>
      <c r="D154" t="s">
        <v>21</v>
      </c>
      <c r="E154">
        <v>9.2200000000000006</v>
      </c>
      <c r="F154" s="3">
        <v>25284.97</v>
      </c>
      <c r="G154">
        <v>130.74</v>
      </c>
      <c r="H154" t="s">
        <v>19</v>
      </c>
    </row>
    <row r="155" spans="1:8" x14ac:dyDescent="0.25">
      <c r="A155" t="s">
        <v>28</v>
      </c>
      <c r="B155">
        <v>5639</v>
      </c>
      <c r="C155" t="s">
        <v>41</v>
      </c>
      <c r="D155" t="s">
        <v>22</v>
      </c>
      <c r="E155">
        <v>7.53</v>
      </c>
      <c r="F155" s="3">
        <v>27124.34</v>
      </c>
      <c r="G155">
        <v>75.13</v>
      </c>
      <c r="H155" t="s">
        <v>19</v>
      </c>
    </row>
    <row r="156" spans="1:8" x14ac:dyDescent="0.25">
      <c r="A156" t="s">
        <v>28</v>
      </c>
      <c r="B156">
        <v>5639</v>
      </c>
      <c r="C156" t="s">
        <v>41</v>
      </c>
      <c r="D156" t="s">
        <v>23</v>
      </c>
      <c r="E156">
        <v>8.01</v>
      </c>
      <c r="F156" s="3">
        <v>18969.82</v>
      </c>
      <c r="G156">
        <v>130.84</v>
      </c>
      <c r="H156" t="s">
        <v>19</v>
      </c>
    </row>
    <row r="157" spans="1:8" x14ac:dyDescent="0.25">
      <c r="A157" t="s">
        <v>28</v>
      </c>
      <c r="B157">
        <v>5639</v>
      </c>
      <c r="C157" t="s">
        <v>41</v>
      </c>
      <c r="D157" t="s">
        <v>24</v>
      </c>
      <c r="E157">
        <v>5.24</v>
      </c>
      <c r="F157" s="3">
        <v>21851.03</v>
      </c>
      <c r="G157">
        <v>97.63</v>
      </c>
      <c r="H157" t="s">
        <v>19</v>
      </c>
    </row>
    <row r="158" spans="1:8" x14ac:dyDescent="0.25">
      <c r="A158" t="s">
        <v>28</v>
      </c>
      <c r="B158">
        <v>5641</v>
      </c>
      <c r="C158" t="s">
        <v>42</v>
      </c>
      <c r="D158" t="s">
        <v>8</v>
      </c>
      <c r="E158">
        <v>10.72</v>
      </c>
      <c r="F158" s="3">
        <v>15766.24</v>
      </c>
      <c r="G158">
        <v>67.84</v>
      </c>
      <c r="H158" t="s">
        <v>19</v>
      </c>
    </row>
    <row r="159" spans="1:8" x14ac:dyDescent="0.25">
      <c r="A159" t="s">
        <v>28</v>
      </c>
      <c r="B159">
        <v>5641</v>
      </c>
      <c r="C159" t="s">
        <v>42</v>
      </c>
      <c r="D159" t="s">
        <v>10</v>
      </c>
      <c r="E159">
        <v>10.37</v>
      </c>
      <c r="F159" s="3">
        <v>36639.74</v>
      </c>
      <c r="G159">
        <v>147.62</v>
      </c>
      <c r="H159" t="s">
        <v>19</v>
      </c>
    </row>
    <row r="160" spans="1:8" x14ac:dyDescent="0.25">
      <c r="A160" t="s">
        <v>28</v>
      </c>
      <c r="B160">
        <v>5641</v>
      </c>
      <c r="C160" t="s">
        <v>42</v>
      </c>
      <c r="D160" t="s">
        <v>13</v>
      </c>
      <c r="E160">
        <v>13.42</v>
      </c>
      <c r="F160" s="3">
        <v>20655.55</v>
      </c>
      <c r="G160">
        <v>82.65</v>
      </c>
      <c r="H160" t="s">
        <v>19</v>
      </c>
    </row>
    <row r="161" spans="1:8" x14ac:dyDescent="0.25">
      <c r="A161" t="s">
        <v>28</v>
      </c>
      <c r="B161">
        <v>5641</v>
      </c>
      <c r="C161" t="s">
        <v>42</v>
      </c>
      <c r="D161" t="s">
        <v>15</v>
      </c>
      <c r="E161">
        <v>9.9499999999999993</v>
      </c>
      <c r="F161" s="3">
        <v>17372.189999999999</v>
      </c>
      <c r="G161">
        <v>51.85</v>
      </c>
      <c r="H161" t="s">
        <v>19</v>
      </c>
    </row>
    <row r="162" spans="1:8" x14ac:dyDescent="0.25">
      <c r="A162" t="s">
        <v>28</v>
      </c>
      <c r="B162">
        <v>5641</v>
      </c>
      <c r="C162" t="s">
        <v>42</v>
      </c>
      <c r="D162" t="s">
        <v>16</v>
      </c>
      <c r="E162">
        <v>11.86</v>
      </c>
      <c r="F162" s="3">
        <v>39809.51</v>
      </c>
      <c r="G162">
        <v>81.69</v>
      </c>
      <c r="H162" t="s">
        <v>19</v>
      </c>
    </row>
    <row r="163" spans="1:8" x14ac:dyDescent="0.25">
      <c r="A163" t="s">
        <v>28</v>
      </c>
      <c r="B163">
        <v>5641</v>
      </c>
      <c r="C163" t="s">
        <v>42</v>
      </c>
      <c r="D163" t="s">
        <v>17</v>
      </c>
      <c r="E163">
        <v>11.98</v>
      </c>
      <c r="F163" s="3">
        <v>40095.129999999997</v>
      </c>
      <c r="G163">
        <v>143.97</v>
      </c>
      <c r="H163" t="s">
        <v>19</v>
      </c>
    </row>
    <row r="164" spans="1:8" x14ac:dyDescent="0.25">
      <c r="A164" t="s">
        <v>28</v>
      </c>
      <c r="B164">
        <v>5641</v>
      </c>
      <c r="C164" t="s">
        <v>42</v>
      </c>
      <c r="D164" t="s">
        <v>18</v>
      </c>
      <c r="E164">
        <v>6.74</v>
      </c>
      <c r="F164" s="3">
        <v>33019.339999999997</v>
      </c>
      <c r="G164">
        <v>56.63</v>
      </c>
      <c r="H164" t="s">
        <v>19</v>
      </c>
    </row>
    <row r="165" spans="1:8" x14ac:dyDescent="0.25">
      <c r="A165" t="s">
        <v>28</v>
      </c>
      <c r="B165">
        <v>5641</v>
      </c>
      <c r="C165" t="s">
        <v>42</v>
      </c>
      <c r="D165" t="s">
        <v>20</v>
      </c>
      <c r="E165">
        <v>5.23</v>
      </c>
      <c r="F165" s="3">
        <v>30556.78</v>
      </c>
      <c r="G165">
        <v>127.14</v>
      </c>
      <c r="H165" t="s">
        <v>19</v>
      </c>
    </row>
    <row r="166" spans="1:8" x14ac:dyDescent="0.25">
      <c r="A166" t="s">
        <v>28</v>
      </c>
      <c r="B166">
        <v>5641</v>
      </c>
      <c r="C166" t="s">
        <v>42</v>
      </c>
      <c r="D166" t="s">
        <v>21</v>
      </c>
      <c r="E166">
        <v>11.68</v>
      </c>
      <c r="F166" s="3">
        <v>12543.4</v>
      </c>
      <c r="G166">
        <v>117.99</v>
      </c>
      <c r="H166" t="s">
        <v>19</v>
      </c>
    </row>
    <row r="167" spans="1:8" x14ac:dyDescent="0.25">
      <c r="A167" t="s">
        <v>28</v>
      </c>
      <c r="B167">
        <v>5641</v>
      </c>
      <c r="C167" t="s">
        <v>42</v>
      </c>
      <c r="D167" t="s">
        <v>22</v>
      </c>
      <c r="E167">
        <v>14.47</v>
      </c>
      <c r="F167" s="3">
        <v>44931.47</v>
      </c>
      <c r="G167">
        <v>95.28</v>
      </c>
      <c r="H167" t="s">
        <v>19</v>
      </c>
    </row>
    <row r="168" spans="1:8" x14ac:dyDescent="0.25">
      <c r="A168" t="s">
        <v>28</v>
      </c>
      <c r="B168">
        <v>5641</v>
      </c>
      <c r="C168" t="s">
        <v>42</v>
      </c>
      <c r="D168" t="s">
        <v>23</v>
      </c>
      <c r="E168">
        <v>10.199999999999999</v>
      </c>
      <c r="F168" s="3">
        <v>44398.49</v>
      </c>
      <c r="G168">
        <v>108.4</v>
      </c>
      <c r="H168" t="s">
        <v>19</v>
      </c>
    </row>
    <row r="169" spans="1:8" x14ac:dyDescent="0.25">
      <c r="A169" t="s">
        <v>28</v>
      </c>
      <c r="B169">
        <v>5641</v>
      </c>
      <c r="C169" t="s">
        <v>42</v>
      </c>
      <c r="D169" t="s">
        <v>24</v>
      </c>
      <c r="E169">
        <v>13.17</v>
      </c>
      <c r="F169" s="3">
        <v>31106.92</v>
      </c>
      <c r="G169">
        <v>99.3</v>
      </c>
      <c r="H169" t="s">
        <v>19</v>
      </c>
    </row>
    <row r="170" spans="1:8" x14ac:dyDescent="0.25">
      <c r="A170" t="s">
        <v>28</v>
      </c>
      <c r="B170">
        <v>5642</v>
      </c>
      <c r="C170" t="s">
        <v>43</v>
      </c>
      <c r="D170" t="s">
        <v>8</v>
      </c>
      <c r="E170">
        <v>6</v>
      </c>
      <c r="F170" s="3">
        <v>39500.89</v>
      </c>
      <c r="G170">
        <v>131.47999999999999</v>
      </c>
      <c r="H170" t="s">
        <v>19</v>
      </c>
    </row>
    <row r="171" spans="1:8" x14ac:dyDescent="0.25">
      <c r="A171" t="s">
        <v>28</v>
      </c>
      <c r="B171">
        <v>5642</v>
      </c>
      <c r="C171" t="s">
        <v>43</v>
      </c>
      <c r="D171" t="s">
        <v>10</v>
      </c>
      <c r="E171">
        <v>13.46</v>
      </c>
      <c r="F171" s="3">
        <v>20689.45</v>
      </c>
      <c r="G171">
        <v>64.92</v>
      </c>
      <c r="H171" t="s">
        <v>19</v>
      </c>
    </row>
    <row r="172" spans="1:8" x14ac:dyDescent="0.25">
      <c r="A172" t="s">
        <v>28</v>
      </c>
      <c r="B172">
        <v>5642</v>
      </c>
      <c r="C172" t="s">
        <v>43</v>
      </c>
      <c r="D172" t="s">
        <v>13</v>
      </c>
      <c r="E172">
        <v>9.3000000000000007</v>
      </c>
      <c r="F172" s="3">
        <v>34475.64</v>
      </c>
      <c r="G172">
        <v>64.680000000000007</v>
      </c>
      <c r="H172" t="s">
        <v>19</v>
      </c>
    </row>
    <row r="173" spans="1:8" x14ac:dyDescent="0.25">
      <c r="A173" t="s">
        <v>28</v>
      </c>
      <c r="B173">
        <v>5642</v>
      </c>
      <c r="C173" t="s">
        <v>43</v>
      </c>
      <c r="D173" t="s">
        <v>15</v>
      </c>
      <c r="E173">
        <v>11.58</v>
      </c>
      <c r="F173" s="3">
        <v>31772.400000000001</v>
      </c>
      <c r="G173">
        <v>116.27</v>
      </c>
      <c r="H173" t="s">
        <v>19</v>
      </c>
    </row>
    <row r="174" spans="1:8" x14ac:dyDescent="0.25">
      <c r="A174" t="s">
        <v>28</v>
      </c>
      <c r="B174">
        <v>5642</v>
      </c>
      <c r="C174" t="s">
        <v>43</v>
      </c>
      <c r="D174" t="s">
        <v>16</v>
      </c>
      <c r="E174">
        <v>6.88</v>
      </c>
      <c r="F174" s="3">
        <v>17283.580000000002</v>
      </c>
      <c r="G174">
        <v>91.21</v>
      </c>
      <c r="H174" t="s">
        <v>19</v>
      </c>
    </row>
    <row r="175" spans="1:8" x14ac:dyDescent="0.25">
      <c r="A175" t="s">
        <v>28</v>
      </c>
      <c r="B175">
        <v>5642</v>
      </c>
      <c r="C175" t="s">
        <v>43</v>
      </c>
      <c r="D175" t="s">
        <v>17</v>
      </c>
      <c r="E175">
        <v>7.68</v>
      </c>
      <c r="F175" s="3">
        <v>33714.050000000003</v>
      </c>
      <c r="G175">
        <v>110.95</v>
      </c>
      <c r="H175" t="s">
        <v>19</v>
      </c>
    </row>
    <row r="176" spans="1:8" x14ac:dyDescent="0.25">
      <c r="A176" t="s">
        <v>28</v>
      </c>
      <c r="B176">
        <v>5642</v>
      </c>
      <c r="C176" t="s">
        <v>43</v>
      </c>
      <c r="D176" t="s">
        <v>18</v>
      </c>
      <c r="E176">
        <v>10.52</v>
      </c>
      <c r="F176" s="3">
        <v>45319.11</v>
      </c>
      <c r="G176">
        <v>68.069999999999993</v>
      </c>
      <c r="H176" t="s">
        <v>19</v>
      </c>
    </row>
    <row r="177" spans="1:8" x14ac:dyDescent="0.25">
      <c r="A177" t="s">
        <v>28</v>
      </c>
      <c r="B177">
        <v>5642</v>
      </c>
      <c r="C177" t="s">
        <v>43</v>
      </c>
      <c r="D177" t="s">
        <v>20</v>
      </c>
      <c r="E177">
        <v>13.51</v>
      </c>
      <c r="F177" s="3">
        <v>24715.27</v>
      </c>
      <c r="G177">
        <v>101.57</v>
      </c>
      <c r="H177" t="s">
        <v>19</v>
      </c>
    </row>
    <row r="178" spans="1:8" x14ac:dyDescent="0.25">
      <c r="A178" t="s">
        <v>28</v>
      </c>
      <c r="B178">
        <v>5642</v>
      </c>
      <c r="C178" t="s">
        <v>43</v>
      </c>
      <c r="D178" t="s">
        <v>21</v>
      </c>
      <c r="E178">
        <v>8.11</v>
      </c>
      <c r="F178" s="3">
        <v>38838.620000000003</v>
      </c>
      <c r="G178">
        <v>108.83</v>
      </c>
      <c r="H178" t="s">
        <v>19</v>
      </c>
    </row>
    <row r="179" spans="1:8" x14ac:dyDescent="0.25">
      <c r="A179" t="s">
        <v>28</v>
      </c>
      <c r="B179">
        <v>5642</v>
      </c>
      <c r="C179" t="s">
        <v>43</v>
      </c>
      <c r="D179" t="s">
        <v>22</v>
      </c>
      <c r="E179">
        <v>14.23</v>
      </c>
      <c r="F179" s="3">
        <v>44446.57</v>
      </c>
      <c r="G179">
        <v>123.45</v>
      </c>
      <c r="H179" t="s">
        <v>19</v>
      </c>
    </row>
    <row r="180" spans="1:8" x14ac:dyDescent="0.25">
      <c r="A180" t="s">
        <v>28</v>
      </c>
      <c r="B180">
        <v>5642</v>
      </c>
      <c r="C180" t="s">
        <v>43</v>
      </c>
      <c r="D180" t="s">
        <v>23</v>
      </c>
      <c r="E180">
        <v>13.25</v>
      </c>
      <c r="F180" s="3">
        <v>30799.98</v>
      </c>
      <c r="G180">
        <v>61.33</v>
      </c>
      <c r="H180" t="s">
        <v>19</v>
      </c>
    </row>
    <row r="181" spans="1:8" x14ac:dyDescent="0.25">
      <c r="A181" t="s">
        <v>28</v>
      </c>
      <c r="B181">
        <v>5642</v>
      </c>
      <c r="C181" t="s">
        <v>43</v>
      </c>
      <c r="D181" t="s">
        <v>24</v>
      </c>
      <c r="E181">
        <v>7.87</v>
      </c>
      <c r="F181" s="3">
        <v>46621.75</v>
      </c>
      <c r="G181">
        <v>111.28</v>
      </c>
      <c r="H181" t="s">
        <v>19</v>
      </c>
    </row>
    <row r="182" spans="1:8" x14ac:dyDescent="0.25">
      <c r="A182" t="s">
        <v>28</v>
      </c>
      <c r="B182">
        <v>5643</v>
      </c>
      <c r="C182" t="s">
        <v>44</v>
      </c>
      <c r="D182" t="s">
        <v>8</v>
      </c>
      <c r="E182">
        <v>9.93</v>
      </c>
      <c r="F182" s="3">
        <v>41838.080000000002</v>
      </c>
      <c r="G182">
        <v>76.89</v>
      </c>
      <c r="H182" t="s">
        <v>19</v>
      </c>
    </row>
    <row r="183" spans="1:8" x14ac:dyDescent="0.25">
      <c r="A183" t="s">
        <v>28</v>
      </c>
      <c r="B183">
        <v>5643</v>
      </c>
      <c r="C183" t="s">
        <v>44</v>
      </c>
      <c r="D183" t="s">
        <v>10</v>
      </c>
      <c r="E183">
        <v>12.34</v>
      </c>
      <c r="F183" s="3">
        <v>20075.47</v>
      </c>
      <c r="G183">
        <v>87.35</v>
      </c>
      <c r="H183" t="s">
        <v>19</v>
      </c>
    </row>
    <row r="184" spans="1:8" x14ac:dyDescent="0.25">
      <c r="A184" t="s">
        <v>28</v>
      </c>
      <c r="B184">
        <v>5643</v>
      </c>
      <c r="C184" t="s">
        <v>44</v>
      </c>
      <c r="D184" t="s">
        <v>13</v>
      </c>
      <c r="E184">
        <v>12.43</v>
      </c>
      <c r="F184" s="3">
        <v>44820.57</v>
      </c>
      <c r="G184">
        <v>146</v>
      </c>
      <c r="H184" t="s">
        <v>19</v>
      </c>
    </row>
    <row r="185" spans="1:8" x14ac:dyDescent="0.25">
      <c r="A185" t="s">
        <v>28</v>
      </c>
      <c r="B185">
        <v>5643</v>
      </c>
      <c r="C185" t="s">
        <v>44</v>
      </c>
      <c r="D185" t="s">
        <v>15</v>
      </c>
      <c r="E185">
        <v>7.98</v>
      </c>
      <c r="F185" s="3">
        <v>11699.7</v>
      </c>
      <c r="G185">
        <v>56.56</v>
      </c>
      <c r="H185" t="s">
        <v>19</v>
      </c>
    </row>
    <row r="186" spans="1:8" x14ac:dyDescent="0.25">
      <c r="A186" t="s">
        <v>28</v>
      </c>
      <c r="B186">
        <v>5643</v>
      </c>
      <c r="C186" t="s">
        <v>44</v>
      </c>
      <c r="D186" t="s">
        <v>16</v>
      </c>
      <c r="E186">
        <v>8</v>
      </c>
      <c r="F186" s="3">
        <v>27812.46</v>
      </c>
      <c r="G186">
        <v>53.1</v>
      </c>
      <c r="H186" t="s">
        <v>19</v>
      </c>
    </row>
    <row r="187" spans="1:8" x14ac:dyDescent="0.25">
      <c r="A187" t="s">
        <v>28</v>
      </c>
      <c r="B187">
        <v>5643</v>
      </c>
      <c r="C187" t="s">
        <v>44</v>
      </c>
      <c r="D187" t="s">
        <v>17</v>
      </c>
      <c r="E187">
        <v>8.02</v>
      </c>
      <c r="F187" s="3">
        <v>29933.81</v>
      </c>
      <c r="G187">
        <v>138.61000000000001</v>
      </c>
      <c r="H187" t="s">
        <v>19</v>
      </c>
    </row>
    <row r="188" spans="1:8" x14ac:dyDescent="0.25">
      <c r="A188" t="s">
        <v>28</v>
      </c>
      <c r="B188">
        <v>5643</v>
      </c>
      <c r="C188" t="s">
        <v>44</v>
      </c>
      <c r="D188" t="s">
        <v>18</v>
      </c>
      <c r="E188">
        <v>9.2100000000000009</v>
      </c>
      <c r="F188" s="3">
        <v>27016.37</v>
      </c>
      <c r="G188">
        <v>53.76</v>
      </c>
      <c r="H188" t="s">
        <v>19</v>
      </c>
    </row>
    <row r="189" spans="1:8" x14ac:dyDescent="0.25">
      <c r="A189" t="s">
        <v>28</v>
      </c>
      <c r="B189">
        <v>5643</v>
      </c>
      <c r="C189" t="s">
        <v>44</v>
      </c>
      <c r="D189" t="s">
        <v>20</v>
      </c>
      <c r="E189">
        <v>5.5</v>
      </c>
      <c r="F189" s="3">
        <v>28624.52</v>
      </c>
      <c r="G189">
        <v>108.35</v>
      </c>
      <c r="H189" t="s">
        <v>19</v>
      </c>
    </row>
    <row r="190" spans="1:8" x14ac:dyDescent="0.25">
      <c r="A190" t="s">
        <v>28</v>
      </c>
      <c r="B190">
        <v>5643</v>
      </c>
      <c r="C190" t="s">
        <v>44</v>
      </c>
      <c r="D190" t="s">
        <v>21</v>
      </c>
      <c r="E190">
        <v>13.84</v>
      </c>
      <c r="F190" s="3">
        <v>19916.28</v>
      </c>
      <c r="G190">
        <v>59.78</v>
      </c>
      <c r="H190" t="s">
        <v>19</v>
      </c>
    </row>
    <row r="191" spans="1:8" x14ac:dyDescent="0.25">
      <c r="A191" t="s">
        <v>28</v>
      </c>
      <c r="B191">
        <v>5643</v>
      </c>
      <c r="C191" t="s">
        <v>44</v>
      </c>
      <c r="D191" t="s">
        <v>22</v>
      </c>
      <c r="E191">
        <v>9.8000000000000007</v>
      </c>
      <c r="F191" s="3">
        <v>39947.800000000003</v>
      </c>
      <c r="G191">
        <v>63.99</v>
      </c>
      <c r="H191" t="s">
        <v>19</v>
      </c>
    </row>
    <row r="192" spans="1:8" x14ac:dyDescent="0.25">
      <c r="A192" t="s">
        <v>28</v>
      </c>
      <c r="B192">
        <v>5643</v>
      </c>
      <c r="C192" t="s">
        <v>44</v>
      </c>
      <c r="D192" t="s">
        <v>23</v>
      </c>
      <c r="E192">
        <v>10.86</v>
      </c>
      <c r="F192" s="3">
        <v>21491.360000000001</v>
      </c>
      <c r="G192">
        <v>51.69</v>
      </c>
      <c r="H192" t="s">
        <v>19</v>
      </c>
    </row>
    <row r="193" spans="1:8" x14ac:dyDescent="0.25">
      <c r="A193" t="s">
        <v>28</v>
      </c>
      <c r="B193">
        <v>5643</v>
      </c>
      <c r="C193" t="s">
        <v>44</v>
      </c>
      <c r="D193" t="s">
        <v>24</v>
      </c>
      <c r="E193">
        <v>12.47</v>
      </c>
      <c r="F193" s="3">
        <v>34538.730000000003</v>
      </c>
      <c r="G193">
        <v>86.75</v>
      </c>
      <c r="H193" t="s">
        <v>19</v>
      </c>
    </row>
    <row r="194" spans="1:8" x14ac:dyDescent="0.25">
      <c r="A194" t="s">
        <v>30</v>
      </c>
      <c r="B194">
        <v>5851</v>
      </c>
      <c r="C194" t="s">
        <v>45</v>
      </c>
      <c r="D194" t="s">
        <v>8</v>
      </c>
      <c r="E194">
        <v>8.99</v>
      </c>
      <c r="F194" s="3">
        <v>27670.33</v>
      </c>
      <c r="G194">
        <v>122.69</v>
      </c>
      <c r="H194" t="s">
        <v>19</v>
      </c>
    </row>
    <row r="195" spans="1:8" x14ac:dyDescent="0.25">
      <c r="A195" t="s">
        <v>30</v>
      </c>
      <c r="B195">
        <v>5851</v>
      </c>
      <c r="C195" t="s">
        <v>45</v>
      </c>
      <c r="D195" t="s">
        <v>10</v>
      </c>
      <c r="E195">
        <v>6.06</v>
      </c>
      <c r="F195" s="3">
        <v>25411.46</v>
      </c>
      <c r="G195">
        <v>115.88</v>
      </c>
      <c r="H195" t="s">
        <v>19</v>
      </c>
    </row>
    <row r="196" spans="1:8" x14ac:dyDescent="0.25">
      <c r="A196" t="s">
        <v>30</v>
      </c>
      <c r="B196">
        <v>5851</v>
      </c>
      <c r="C196" t="s">
        <v>45</v>
      </c>
      <c r="D196" t="s">
        <v>13</v>
      </c>
      <c r="E196">
        <v>7.06</v>
      </c>
      <c r="F196" s="3">
        <v>39380.589999999997</v>
      </c>
      <c r="G196">
        <v>82.18</v>
      </c>
      <c r="H196" t="s">
        <v>19</v>
      </c>
    </row>
    <row r="197" spans="1:8" x14ac:dyDescent="0.25">
      <c r="A197" t="s">
        <v>30</v>
      </c>
      <c r="B197">
        <v>5851</v>
      </c>
      <c r="C197" t="s">
        <v>45</v>
      </c>
      <c r="D197" t="s">
        <v>15</v>
      </c>
      <c r="E197">
        <v>9.68</v>
      </c>
      <c r="F197" s="3">
        <v>43724.67</v>
      </c>
      <c r="G197">
        <v>95.6</v>
      </c>
      <c r="H197" t="s">
        <v>19</v>
      </c>
    </row>
    <row r="198" spans="1:8" x14ac:dyDescent="0.25">
      <c r="A198" t="s">
        <v>30</v>
      </c>
      <c r="B198">
        <v>5851</v>
      </c>
      <c r="C198" t="s">
        <v>45</v>
      </c>
      <c r="D198" t="s">
        <v>16</v>
      </c>
      <c r="E198">
        <v>9.7100000000000009</v>
      </c>
      <c r="F198" s="3">
        <v>13125.86</v>
      </c>
      <c r="G198">
        <v>99.68</v>
      </c>
      <c r="H198" t="s">
        <v>19</v>
      </c>
    </row>
    <row r="199" spans="1:8" x14ac:dyDescent="0.25">
      <c r="A199" t="s">
        <v>30</v>
      </c>
      <c r="B199">
        <v>5851</v>
      </c>
      <c r="C199" t="s">
        <v>45</v>
      </c>
      <c r="D199" t="s">
        <v>17</v>
      </c>
      <c r="E199">
        <v>5.32</v>
      </c>
      <c r="F199" s="3">
        <v>42564.68</v>
      </c>
      <c r="G199">
        <v>80.45</v>
      </c>
      <c r="H199" t="s">
        <v>19</v>
      </c>
    </row>
    <row r="200" spans="1:8" x14ac:dyDescent="0.25">
      <c r="A200" t="s">
        <v>30</v>
      </c>
      <c r="B200">
        <v>5851</v>
      </c>
      <c r="C200" t="s">
        <v>45</v>
      </c>
      <c r="D200" t="s">
        <v>18</v>
      </c>
      <c r="E200">
        <v>8.99</v>
      </c>
      <c r="F200" s="3">
        <v>32997.67</v>
      </c>
      <c r="G200">
        <v>147.35</v>
      </c>
      <c r="H200" t="s">
        <v>19</v>
      </c>
    </row>
    <row r="201" spans="1:8" x14ac:dyDescent="0.25">
      <c r="A201" t="s">
        <v>30</v>
      </c>
      <c r="B201">
        <v>5851</v>
      </c>
      <c r="C201" t="s">
        <v>45</v>
      </c>
      <c r="D201" t="s">
        <v>20</v>
      </c>
      <c r="E201">
        <v>8.68</v>
      </c>
      <c r="F201" s="3">
        <v>18772.150000000001</v>
      </c>
      <c r="G201">
        <v>140.76</v>
      </c>
      <c r="H201" t="s">
        <v>19</v>
      </c>
    </row>
    <row r="202" spans="1:8" x14ac:dyDescent="0.25">
      <c r="A202" t="s">
        <v>30</v>
      </c>
      <c r="B202">
        <v>5851</v>
      </c>
      <c r="C202" t="s">
        <v>45</v>
      </c>
      <c r="D202" t="s">
        <v>21</v>
      </c>
      <c r="E202">
        <v>12.24</v>
      </c>
      <c r="F202" s="3">
        <v>30513.1</v>
      </c>
      <c r="G202">
        <v>104.94</v>
      </c>
      <c r="H202" t="s">
        <v>19</v>
      </c>
    </row>
    <row r="203" spans="1:8" x14ac:dyDescent="0.25">
      <c r="A203" t="s">
        <v>30</v>
      </c>
      <c r="B203">
        <v>5851</v>
      </c>
      <c r="C203" t="s">
        <v>45</v>
      </c>
      <c r="D203" t="s">
        <v>22</v>
      </c>
      <c r="E203">
        <v>11.6</v>
      </c>
      <c r="F203" s="3">
        <v>48147.18</v>
      </c>
      <c r="G203">
        <v>74.86</v>
      </c>
      <c r="H203" t="s">
        <v>19</v>
      </c>
    </row>
    <row r="204" spans="1:8" x14ac:dyDescent="0.25">
      <c r="A204" t="s">
        <v>30</v>
      </c>
      <c r="B204">
        <v>5851</v>
      </c>
      <c r="C204" t="s">
        <v>45</v>
      </c>
      <c r="D204" t="s">
        <v>23</v>
      </c>
      <c r="E204">
        <v>6.95</v>
      </c>
      <c r="F204" s="3">
        <v>13568.78</v>
      </c>
      <c r="G204">
        <v>54.07</v>
      </c>
      <c r="H204" t="s">
        <v>19</v>
      </c>
    </row>
    <row r="205" spans="1:8" x14ac:dyDescent="0.25">
      <c r="A205" t="s">
        <v>30</v>
      </c>
      <c r="B205">
        <v>5851</v>
      </c>
      <c r="C205" t="s">
        <v>45</v>
      </c>
      <c r="D205" t="s">
        <v>24</v>
      </c>
      <c r="E205">
        <v>5.38</v>
      </c>
      <c r="F205" s="3">
        <v>26482.04</v>
      </c>
      <c r="G205">
        <v>126.37</v>
      </c>
      <c r="H205" t="s">
        <v>19</v>
      </c>
    </row>
    <row r="206" spans="1:8" x14ac:dyDescent="0.25">
      <c r="A206" t="s">
        <v>30</v>
      </c>
      <c r="B206">
        <v>5030</v>
      </c>
      <c r="C206" t="s">
        <v>46</v>
      </c>
      <c r="D206" t="s">
        <v>8</v>
      </c>
      <c r="E206">
        <v>9.76</v>
      </c>
      <c r="F206" s="3">
        <v>31901.81</v>
      </c>
      <c r="G206">
        <v>98</v>
      </c>
      <c r="H206" t="s">
        <v>19</v>
      </c>
    </row>
    <row r="207" spans="1:8" x14ac:dyDescent="0.25">
      <c r="A207" t="s">
        <v>30</v>
      </c>
      <c r="B207">
        <v>5030</v>
      </c>
      <c r="C207" t="s">
        <v>46</v>
      </c>
      <c r="D207" t="s">
        <v>10</v>
      </c>
      <c r="E207">
        <v>11.08</v>
      </c>
      <c r="F207" s="3">
        <v>32193.39</v>
      </c>
      <c r="G207">
        <v>58.8</v>
      </c>
      <c r="H207" t="s">
        <v>19</v>
      </c>
    </row>
    <row r="208" spans="1:8" x14ac:dyDescent="0.25">
      <c r="A208" t="s">
        <v>30</v>
      </c>
      <c r="B208">
        <v>5030</v>
      </c>
      <c r="C208" t="s">
        <v>46</v>
      </c>
      <c r="D208" t="s">
        <v>13</v>
      </c>
      <c r="E208">
        <v>10.01</v>
      </c>
      <c r="F208" s="3">
        <v>35506.32</v>
      </c>
      <c r="G208">
        <v>101.52</v>
      </c>
      <c r="H208" t="s">
        <v>19</v>
      </c>
    </row>
    <row r="209" spans="1:8" x14ac:dyDescent="0.25">
      <c r="A209" t="s">
        <v>30</v>
      </c>
      <c r="B209">
        <v>5030</v>
      </c>
      <c r="C209" t="s">
        <v>46</v>
      </c>
      <c r="D209" t="s">
        <v>15</v>
      </c>
      <c r="E209">
        <v>11.21</v>
      </c>
      <c r="F209" s="3">
        <v>16201.13</v>
      </c>
      <c r="G209">
        <v>142.57</v>
      </c>
      <c r="H209" t="s">
        <v>19</v>
      </c>
    </row>
    <row r="210" spans="1:8" x14ac:dyDescent="0.25">
      <c r="A210" t="s">
        <v>30</v>
      </c>
      <c r="B210">
        <v>5030</v>
      </c>
      <c r="C210" t="s">
        <v>46</v>
      </c>
      <c r="D210" t="s">
        <v>16</v>
      </c>
      <c r="E210">
        <v>14.28</v>
      </c>
      <c r="F210" s="3">
        <v>30799.26</v>
      </c>
      <c r="G210">
        <v>52.41</v>
      </c>
      <c r="H210" t="s">
        <v>19</v>
      </c>
    </row>
    <row r="211" spans="1:8" x14ac:dyDescent="0.25">
      <c r="A211" t="s">
        <v>30</v>
      </c>
      <c r="B211">
        <v>5030</v>
      </c>
      <c r="C211" t="s">
        <v>46</v>
      </c>
      <c r="D211" t="s">
        <v>17</v>
      </c>
      <c r="E211">
        <v>8.35</v>
      </c>
      <c r="F211" s="3">
        <v>21350.93</v>
      </c>
      <c r="G211">
        <v>100.62</v>
      </c>
      <c r="H211" t="s">
        <v>19</v>
      </c>
    </row>
    <row r="212" spans="1:8" x14ac:dyDescent="0.25">
      <c r="A212" t="s">
        <v>30</v>
      </c>
      <c r="B212">
        <v>5030</v>
      </c>
      <c r="C212" t="s">
        <v>46</v>
      </c>
      <c r="D212" t="s">
        <v>18</v>
      </c>
      <c r="E212">
        <v>8.76</v>
      </c>
      <c r="F212" s="3">
        <v>29207.54</v>
      </c>
      <c r="G212">
        <v>94.21</v>
      </c>
      <c r="H212" t="s">
        <v>19</v>
      </c>
    </row>
    <row r="213" spans="1:8" x14ac:dyDescent="0.25">
      <c r="A213" t="s">
        <v>30</v>
      </c>
      <c r="B213">
        <v>5030</v>
      </c>
      <c r="C213" t="s">
        <v>46</v>
      </c>
      <c r="D213" t="s">
        <v>20</v>
      </c>
      <c r="E213">
        <v>12.05</v>
      </c>
      <c r="F213" s="3">
        <v>19588.93</v>
      </c>
      <c r="G213">
        <v>91.64</v>
      </c>
      <c r="H213" t="s">
        <v>19</v>
      </c>
    </row>
    <row r="214" spans="1:8" x14ac:dyDescent="0.25">
      <c r="A214" t="s">
        <v>30</v>
      </c>
      <c r="B214">
        <v>5030</v>
      </c>
      <c r="C214" t="s">
        <v>46</v>
      </c>
      <c r="D214" t="s">
        <v>21</v>
      </c>
      <c r="E214">
        <v>14.41</v>
      </c>
      <c r="F214" s="3">
        <v>14053.23</v>
      </c>
      <c r="G214">
        <v>119.46</v>
      </c>
      <c r="H214" t="s">
        <v>19</v>
      </c>
    </row>
    <row r="215" spans="1:8" x14ac:dyDescent="0.25">
      <c r="A215" t="s">
        <v>30</v>
      </c>
      <c r="B215">
        <v>5030</v>
      </c>
      <c r="C215" t="s">
        <v>46</v>
      </c>
      <c r="D215" t="s">
        <v>22</v>
      </c>
      <c r="E215">
        <v>13</v>
      </c>
      <c r="F215" s="3">
        <v>14152.81</v>
      </c>
      <c r="G215">
        <v>98.63</v>
      </c>
      <c r="H215" t="s">
        <v>19</v>
      </c>
    </row>
    <row r="216" spans="1:8" x14ac:dyDescent="0.25">
      <c r="A216" t="s">
        <v>30</v>
      </c>
      <c r="B216">
        <v>5030</v>
      </c>
      <c r="C216" t="s">
        <v>46</v>
      </c>
      <c r="D216" t="s">
        <v>23</v>
      </c>
      <c r="E216">
        <v>7.89</v>
      </c>
      <c r="F216" s="3">
        <v>30575.35</v>
      </c>
      <c r="G216">
        <v>90.93</v>
      </c>
      <c r="H216" t="s">
        <v>19</v>
      </c>
    </row>
    <row r="217" spans="1:8" x14ac:dyDescent="0.25">
      <c r="A217" t="s">
        <v>30</v>
      </c>
      <c r="B217">
        <v>5030</v>
      </c>
      <c r="C217" t="s">
        <v>46</v>
      </c>
      <c r="D217" t="s">
        <v>24</v>
      </c>
      <c r="E217">
        <v>13.58</v>
      </c>
      <c r="F217" s="3">
        <v>20388.310000000001</v>
      </c>
      <c r="G217">
        <v>138.72</v>
      </c>
      <c r="H217" t="s">
        <v>19</v>
      </c>
    </row>
    <row r="218" spans="1:8" x14ac:dyDescent="0.25">
      <c r="A218" t="s">
        <v>26</v>
      </c>
      <c r="B218">
        <v>5521</v>
      </c>
      <c r="C218" t="s">
        <v>47</v>
      </c>
      <c r="D218" t="s">
        <v>8</v>
      </c>
      <c r="E218">
        <v>14.62</v>
      </c>
      <c r="F218" s="3">
        <v>40632.239999999998</v>
      </c>
      <c r="G218">
        <v>129.24</v>
      </c>
      <c r="H218" t="s">
        <v>19</v>
      </c>
    </row>
    <row r="219" spans="1:8" x14ac:dyDescent="0.25">
      <c r="A219" t="s">
        <v>26</v>
      </c>
      <c r="B219">
        <v>5521</v>
      </c>
      <c r="C219" t="s">
        <v>47</v>
      </c>
      <c r="D219" t="s">
        <v>10</v>
      </c>
      <c r="E219">
        <v>11.42</v>
      </c>
      <c r="F219" s="3">
        <v>25416.77</v>
      </c>
      <c r="G219">
        <v>61.88</v>
      </c>
      <c r="H219" t="s">
        <v>19</v>
      </c>
    </row>
    <row r="220" spans="1:8" x14ac:dyDescent="0.25">
      <c r="A220" t="s">
        <v>26</v>
      </c>
      <c r="B220">
        <v>5521</v>
      </c>
      <c r="C220" t="s">
        <v>47</v>
      </c>
      <c r="D220" t="s">
        <v>13</v>
      </c>
      <c r="E220">
        <v>5.38</v>
      </c>
      <c r="F220" s="3">
        <v>15222.31</v>
      </c>
      <c r="G220">
        <v>96.66</v>
      </c>
      <c r="H220" t="s">
        <v>19</v>
      </c>
    </row>
    <row r="221" spans="1:8" x14ac:dyDescent="0.25">
      <c r="A221" t="s">
        <v>26</v>
      </c>
      <c r="B221">
        <v>5521</v>
      </c>
      <c r="C221" t="s">
        <v>47</v>
      </c>
      <c r="D221" t="s">
        <v>15</v>
      </c>
      <c r="E221">
        <v>6.18</v>
      </c>
      <c r="F221" s="3">
        <v>25233.16</v>
      </c>
      <c r="G221">
        <v>109.93</v>
      </c>
      <c r="H221" t="s">
        <v>19</v>
      </c>
    </row>
    <row r="222" spans="1:8" x14ac:dyDescent="0.25">
      <c r="A222" t="s">
        <v>26</v>
      </c>
      <c r="B222">
        <v>5521</v>
      </c>
      <c r="C222" t="s">
        <v>47</v>
      </c>
      <c r="D222" t="s">
        <v>16</v>
      </c>
      <c r="E222">
        <v>13.92</v>
      </c>
      <c r="F222" s="3">
        <v>38703.17</v>
      </c>
      <c r="G222">
        <v>144.94</v>
      </c>
      <c r="H222" t="s">
        <v>19</v>
      </c>
    </row>
    <row r="223" spans="1:8" x14ac:dyDescent="0.25">
      <c r="A223" t="s">
        <v>26</v>
      </c>
      <c r="B223">
        <v>5521</v>
      </c>
      <c r="C223" t="s">
        <v>47</v>
      </c>
      <c r="D223" t="s">
        <v>17</v>
      </c>
      <c r="E223">
        <v>7.25</v>
      </c>
      <c r="F223" s="3">
        <v>16438.77</v>
      </c>
      <c r="G223">
        <v>109.05</v>
      </c>
      <c r="H223" t="s">
        <v>19</v>
      </c>
    </row>
    <row r="224" spans="1:8" x14ac:dyDescent="0.25">
      <c r="A224" t="s">
        <v>26</v>
      </c>
      <c r="B224">
        <v>5521</v>
      </c>
      <c r="C224" t="s">
        <v>47</v>
      </c>
      <c r="D224" t="s">
        <v>18</v>
      </c>
      <c r="E224">
        <v>14.68</v>
      </c>
      <c r="F224" s="3">
        <v>38499.129999999997</v>
      </c>
      <c r="G224">
        <v>99.65</v>
      </c>
      <c r="H224" t="s">
        <v>19</v>
      </c>
    </row>
    <row r="225" spans="1:8" x14ac:dyDescent="0.25">
      <c r="A225" t="s">
        <v>26</v>
      </c>
      <c r="B225">
        <v>5521</v>
      </c>
      <c r="C225" t="s">
        <v>47</v>
      </c>
      <c r="D225" t="s">
        <v>20</v>
      </c>
      <c r="E225">
        <v>10.199999999999999</v>
      </c>
      <c r="F225" s="3">
        <v>17070.939999999999</v>
      </c>
      <c r="G225">
        <v>89.12</v>
      </c>
      <c r="H225" t="s">
        <v>19</v>
      </c>
    </row>
    <row r="226" spans="1:8" x14ac:dyDescent="0.25">
      <c r="A226" t="s">
        <v>26</v>
      </c>
      <c r="B226">
        <v>5521</v>
      </c>
      <c r="C226" t="s">
        <v>47</v>
      </c>
      <c r="D226" t="s">
        <v>21</v>
      </c>
      <c r="E226">
        <v>12.59</v>
      </c>
      <c r="F226" s="3">
        <v>45775.05</v>
      </c>
      <c r="G226">
        <v>106.19</v>
      </c>
      <c r="H226" t="s">
        <v>19</v>
      </c>
    </row>
    <row r="227" spans="1:8" x14ac:dyDescent="0.25">
      <c r="A227" t="s">
        <v>26</v>
      </c>
      <c r="B227">
        <v>5521</v>
      </c>
      <c r="C227" t="s">
        <v>47</v>
      </c>
      <c r="D227" t="s">
        <v>22</v>
      </c>
      <c r="E227">
        <v>10.38</v>
      </c>
      <c r="F227" s="3">
        <v>13564.26</v>
      </c>
      <c r="G227">
        <v>148.16999999999999</v>
      </c>
      <c r="H227" t="s">
        <v>19</v>
      </c>
    </row>
    <row r="228" spans="1:8" x14ac:dyDescent="0.25">
      <c r="A228" t="s">
        <v>26</v>
      </c>
      <c r="B228">
        <v>5521</v>
      </c>
      <c r="C228" t="s">
        <v>47</v>
      </c>
      <c r="D228" t="s">
        <v>23</v>
      </c>
      <c r="E228">
        <v>11.66</v>
      </c>
      <c r="F228" s="3">
        <v>20996.77</v>
      </c>
      <c r="G228">
        <v>129.22999999999999</v>
      </c>
      <c r="H228" t="s">
        <v>19</v>
      </c>
    </row>
    <row r="229" spans="1:8" x14ac:dyDescent="0.25">
      <c r="A229" t="s">
        <v>26</v>
      </c>
      <c r="B229">
        <v>5521</v>
      </c>
      <c r="C229" t="s">
        <v>47</v>
      </c>
      <c r="D229" t="s">
        <v>24</v>
      </c>
      <c r="E229">
        <v>14.21</v>
      </c>
      <c r="F229" s="3">
        <v>23214.49</v>
      </c>
      <c r="G229">
        <v>101.18</v>
      </c>
      <c r="H229" t="s">
        <v>19</v>
      </c>
    </row>
    <row r="231" spans="1:8" x14ac:dyDescent="0.25">
      <c r="A231" s="1"/>
      <c r="B231" s="1"/>
      <c r="D231" s="2"/>
    </row>
    <row r="232" spans="1:8" x14ac:dyDescent="0.25">
      <c r="D232" s="5"/>
    </row>
  </sheetData>
  <conditionalFormatting sqref="D231">
    <cfRule type="cellIs" priority="2" stopIfTrue="1" operator="greaterThanOrEqual">
      <formula>K1</formula>
    </cfRule>
  </conditionalFormatting>
  <conditionalFormatting sqref="L3">
    <cfRule type="cellIs" priority="1" stopIfTrue="1" operator="greaterThanOrEqual">
      <formula>P1048349</formula>
    </cfRule>
  </conditionalFormatting>
  <pageMargins left="0.75" right="0.75" top="1" bottom="1" header="0.5" footer="0.5"/>
  <headerFooter>
    <oddFooter>&amp;C_x000D_&amp;1#&amp;"Calibri"&amp;8&amp;K000000 INTERNAL USE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7f892d-6565-48b7-8183-b0214d5ebe5f" xsi:nil="true"/>
    <lcf76f155ced4ddcb4097134ff3c332f xmlns="3189c296-38b9-40a7-9323-b696cd3c339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CA2610F0A90943902E2B1845A96F57" ma:contentTypeVersion="16" ma:contentTypeDescription="Create a new document." ma:contentTypeScope="" ma:versionID="d03a5128fe3593df0d1dd32ebef5fb3f">
  <xsd:schema xmlns:xsd="http://www.w3.org/2001/XMLSchema" xmlns:xs="http://www.w3.org/2001/XMLSchema" xmlns:p="http://schemas.microsoft.com/office/2006/metadata/properties" xmlns:ns2="3189c296-38b9-40a7-9323-b696cd3c3391" xmlns:ns3="367f892d-6565-48b7-8183-b0214d5ebe5f" targetNamespace="http://schemas.microsoft.com/office/2006/metadata/properties" ma:root="true" ma:fieldsID="eee885bb056183ec5687d160eed7b9ee" ns2:_="" ns3:_="">
    <xsd:import namespace="3189c296-38b9-40a7-9323-b696cd3c3391"/>
    <xsd:import namespace="367f892d-6565-48b7-8183-b0214d5ebe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9c296-38b9-40a7-9323-b696cd3c3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cc1dc9c-c0f4-4cfc-883f-2a29c4e01e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f892d-6565-48b7-8183-b0214d5ebe5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8669924-6f3a-4ba7-b26a-eab3df94f699}" ma:internalName="TaxCatchAll" ma:showField="CatchAllData" ma:web="367f892d-6565-48b7-8183-b0214d5ebe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7E46A-8D3A-42A4-A653-C2E0BAB740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D1BE3F-8A30-4734-8A2F-462B8F762AD9}">
  <ds:schemaRefs>
    <ds:schemaRef ds:uri="http://schemas.microsoft.com/office/2006/metadata/properties"/>
    <ds:schemaRef ds:uri="http://schemas.microsoft.com/office/infopath/2007/PartnerControls"/>
    <ds:schemaRef ds:uri="367f892d-6565-48b7-8183-b0214d5ebe5f"/>
    <ds:schemaRef ds:uri="3189c296-38b9-40a7-9323-b696cd3c3391"/>
  </ds:schemaRefs>
</ds:datastoreItem>
</file>

<file path=customXml/itemProps3.xml><?xml version="1.0" encoding="utf-8"?>
<ds:datastoreItem xmlns:ds="http://schemas.openxmlformats.org/officeDocument/2006/customXml" ds:itemID="{1029CCBD-F8CF-4C2F-8881-B5ECF44F0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89c296-38b9-40a7-9323-b696cd3c3391"/>
    <ds:schemaRef ds:uri="367f892d-6565-48b7-8183-b0214d5ebe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Rollout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Partridge, Ted</cp:lastModifiedBy>
  <cp:revision/>
  <dcterms:created xsi:type="dcterms:W3CDTF">2025-11-20T15:38:48Z</dcterms:created>
  <dcterms:modified xsi:type="dcterms:W3CDTF">2025-11-21T21:20:29Z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0x010100A3CA2610F0A90943902E2B1845A96F57</vt:lpwstr>
  </property>
</Properties>
</file>