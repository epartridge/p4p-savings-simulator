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xp53tg\Coding\p4p-savings-simulator\data\"/>
    </mc:Choice>
  </mc:AlternateContent>
  <xr:revisionPtr revIDLastSave="0" documentId="13_ncr:1_{CDF8036C-BF81-4D6E-BBC9-65CA4513DF7C}" xr6:coauthVersionLast="47" xr6:coauthVersionMax="47" xr10:uidLastSave="{00000000-0000-0000-0000-000000000000}"/>
  <bookViews>
    <workbookView xWindow="28830" yWindow="405" windowWidth="25890" windowHeight="14535" xr2:uid="{00000000-000D-0000-FFFF-FFFF00000000}"/>
  </bookViews>
  <sheets>
    <sheet name="DC Rollout Template" sheetId="2" r:id="rId1"/>
    <sheet name="DC Rollout Template OLD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0" i="2" l="1"/>
  <c r="G229" i="2"/>
  <c r="H229" i="2" s="1"/>
  <c r="I229" i="2" s="1"/>
  <c r="G228" i="2"/>
  <c r="H228" i="2" s="1"/>
  <c r="I228" i="2" s="1"/>
  <c r="H227" i="2"/>
  <c r="I227" i="2" s="1"/>
  <c r="G227" i="2"/>
  <c r="G226" i="2"/>
  <c r="H226" i="2" s="1"/>
  <c r="I226" i="2" s="1"/>
  <c r="G225" i="2"/>
  <c r="H225" i="2" s="1"/>
  <c r="I225" i="2" s="1"/>
  <c r="H224" i="2"/>
  <c r="I224" i="2" s="1"/>
  <c r="G224" i="2"/>
  <c r="G223" i="2"/>
  <c r="H223" i="2" s="1"/>
  <c r="I223" i="2" s="1"/>
  <c r="G222" i="2"/>
  <c r="H222" i="2" s="1"/>
  <c r="I222" i="2" s="1"/>
  <c r="G221" i="2"/>
  <c r="H221" i="2" s="1"/>
  <c r="I221" i="2" s="1"/>
  <c r="H220" i="2"/>
  <c r="I220" i="2" s="1"/>
  <c r="G220" i="2"/>
  <c r="G219" i="2"/>
  <c r="H219" i="2" s="1"/>
  <c r="I219" i="2" s="1"/>
  <c r="G218" i="2"/>
  <c r="H218" i="2" s="1"/>
  <c r="I218" i="2" s="1"/>
  <c r="H217" i="2"/>
  <c r="I217" i="2" s="1"/>
  <c r="G217" i="2"/>
  <c r="H216" i="2"/>
  <c r="I216" i="2" s="1"/>
  <c r="G216" i="2"/>
  <c r="G215" i="2"/>
  <c r="H215" i="2" s="1"/>
  <c r="I215" i="2" s="1"/>
  <c r="G214" i="2"/>
  <c r="H214" i="2" s="1"/>
  <c r="I214" i="2" s="1"/>
  <c r="G213" i="2"/>
  <c r="H213" i="2" s="1"/>
  <c r="I213" i="2" s="1"/>
  <c r="H212" i="2"/>
  <c r="I212" i="2" s="1"/>
  <c r="G212" i="2"/>
  <c r="G211" i="2"/>
  <c r="H211" i="2" s="1"/>
  <c r="I211" i="2" s="1"/>
  <c r="I210" i="2"/>
  <c r="H210" i="2"/>
  <c r="G210" i="2"/>
  <c r="G209" i="2"/>
  <c r="H209" i="2" s="1"/>
  <c r="I209" i="2" s="1"/>
  <c r="G208" i="2"/>
  <c r="H208" i="2" s="1"/>
  <c r="I208" i="2" s="1"/>
  <c r="G207" i="2"/>
  <c r="H207" i="2" s="1"/>
  <c r="I207" i="2" s="1"/>
  <c r="G206" i="2"/>
  <c r="H206" i="2" s="1"/>
  <c r="L205" i="2"/>
  <c r="I205" i="2"/>
  <c r="H205" i="2"/>
  <c r="G205" i="2"/>
  <c r="G204" i="2"/>
  <c r="H204" i="2" s="1"/>
  <c r="I204" i="2" s="1"/>
  <c r="H203" i="2"/>
  <c r="I203" i="2" s="1"/>
  <c r="G203" i="2"/>
  <c r="G202" i="2"/>
  <c r="H202" i="2" s="1"/>
  <c r="I202" i="2" s="1"/>
  <c r="G201" i="2"/>
  <c r="H201" i="2" s="1"/>
  <c r="I201" i="2" s="1"/>
  <c r="G200" i="2"/>
  <c r="H200" i="2" s="1"/>
  <c r="I200" i="2" s="1"/>
  <c r="G199" i="2"/>
  <c r="H199" i="2" s="1"/>
  <c r="I199" i="2" s="1"/>
  <c r="G198" i="2"/>
  <c r="H198" i="2" s="1"/>
  <c r="I198" i="2" s="1"/>
  <c r="G197" i="2"/>
  <c r="H197" i="2" s="1"/>
  <c r="I197" i="2" s="1"/>
  <c r="G196" i="2"/>
  <c r="H196" i="2" s="1"/>
  <c r="I196" i="2" s="1"/>
  <c r="G195" i="2"/>
  <c r="H195" i="2" s="1"/>
  <c r="I195" i="2" s="1"/>
  <c r="G194" i="2"/>
  <c r="H194" i="2" s="1"/>
  <c r="I194" i="2" s="1"/>
  <c r="G193" i="2"/>
  <c r="H193" i="2" s="1"/>
  <c r="I193" i="2" s="1"/>
  <c r="H192" i="2"/>
  <c r="I192" i="2" s="1"/>
  <c r="G192" i="2"/>
  <c r="G191" i="2"/>
  <c r="H191" i="2" s="1"/>
  <c r="I191" i="2" s="1"/>
  <c r="I190" i="2"/>
  <c r="G190" i="2"/>
  <c r="H190" i="2" s="1"/>
  <c r="G189" i="2"/>
  <c r="H189" i="2" s="1"/>
  <c r="I189" i="2" s="1"/>
  <c r="G188" i="2"/>
  <c r="H188" i="2" s="1"/>
  <c r="I188" i="2" s="1"/>
  <c r="H187" i="2"/>
  <c r="I187" i="2" s="1"/>
  <c r="G187" i="2"/>
  <c r="G186" i="2"/>
  <c r="H186" i="2" s="1"/>
  <c r="I186" i="2" s="1"/>
  <c r="G185" i="2"/>
  <c r="H185" i="2" s="1"/>
  <c r="I185" i="2" s="1"/>
  <c r="G184" i="2"/>
  <c r="H184" i="2" s="1"/>
  <c r="I184" i="2" s="1"/>
  <c r="I183" i="2"/>
  <c r="H183" i="2"/>
  <c r="G183" i="2"/>
  <c r="G182" i="2"/>
  <c r="H182" i="2" s="1"/>
  <c r="I182" i="2" s="1"/>
  <c r="H181" i="2"/>
  <c r="I181" i="2" s="1"/>
  <c r="G181" i="2"/>
  <c r="G180" i="2"/>
  <c r="H180" i="2" s="1"/>
  <c r="I180" i="2" s="1"/>
  <c r="G179" i="2"/>
  <c r="H179" i="2" s="1"/>
  <c r="I179" i="2" s="1"/>
  <c r="G178" i="2"/>
  <c r="H178" i="2" s="1"/>
  <c r="I178" i="2" s="1"/>
  <c r="G177" i="2"/>
  <c r="H177" i="2" s="1"/>
  <c r="I177" i="2" s="1"/>
  <c r="G176" i="2"/>
  <c r="H176" i="2" s="1"/>
  <c r="I176" i="2" s="1"/>
  <c r="G175" i="2"/>
  <c r="H175" i="2" s="1"/>
  <c r="I175" i="2" s="1"/>
  <c r="G174" i="2"/>
  <c r="H174" i="2" s="1"/>
  <c r="I174" i="2" s="1"/>
  <c r="G173" i="2"/>
  <c r="H173" i="2" s="1"/>
  <c r="I173" i="2" s="1"/>
  <c r="G172" i="2"/>
  <c r="H172" i="2" s="1"/>
  <c r="I172" i="2" s="1"/>
  <c r="G171" i="2"/>
  <c r="H171" i="2" s="1"/>
  <c r="I171" i="2" s="1"/>
  <c r="G170" i="2"/>
  <c r="H170" i="2" s="1"/>
  <c r="I170" i="2" s="1"/>
  <c r="G169" i="2"/>
  <c r="H169" i="2" s="1"/>
  <c r="I169" i="2" s="1"/>
  <c r="G168" i="2"/>
  <c r="H168" i="2" s="1"/>
  <c r="I168" i="2" s="1"/>
  <c r="G167" i="2"/>
  <c r="H167" i="2" s="1"/>
  <c r="I167" i="2" s="1"/>
  <c r="I166" i="2"/>
  <c r="G166" i="2"/>
  <c r="H166" i="2" s="1"/>
  <c r="I165" i="2"/>
  <c r="H165" i="2"/>
  <c r="G165" i="2"/>
  <c r="G164" i="2"/>
  <c r="H164" i="2" s="1"/>
  <c r="I164" i="2" s="1"/>
  <c r="G163" i="2"/>
  <c r="H163" i="2" s="1"/>
  <c r="I163" i="2" s="1"/>
  <c r="H162" i="2"/>
  <c r="I162" i="2" s="1"/>
  <c r="G162" i="2"/>
  <c r="H161" i="2"/>
  <c r="I161" i="2" s="1"/>
  <c r="G161" i="2"/>
  <c r="H160" i="2"/>
  <c r="I160" i="2" s="1"/>
  <c r="G160" i="2"/>
  <c r="H159" i="2"/>
  <c r="I159" i="2" s="1"/>
  <c r="G159" i="2"/>
  <c r="G158" i="2"/>
  <c r="H158" i="2" s="1"/>
  <c r="I158" i="2" s="1"/>
  <c r="G157" i="2"/>
  <c r="H157" i="2" s="1"/>
  <c r="I157" i="2" s="1"/>
  <c r="G156" i="2"/>
  <c r="H156" i="2" s="1"/>
  <c r="I156" i="2" s="1"/>
  <c r="H155" i="2"/>
  <c r="I155" i="2" s="1"/>
  <c r="G155" i="2"/>
  <c r="G154" i="2"/>
  <c r="H154" i="2" s="1"/>
  <c r="I154" i="2" s="1"/>
  <c r="G153" i="2"/>
  <c r="H153" i="2" s="1"/>
  <c r="I153" i="2" s="1"/>
  <c r="G152" i="2"/>
  <c r="H152" i="2" s="1"/>
  <c r="I152" i="2" s="1"/>
  <c r="G151" i="2"/>
  <c r="H151" i="2" s="1"/>
  <c r="I151" i="2" s="1"/>
  <c r="I150" i="2"/>
  <c r="G150" i="2"/>
  <c r="H150" i="2" s="1"/>
  <c r="G149" i="2"/>
  <c r="H149" i="2" s="1"/>
  <c r="I149" i="2" s="1"/>
  <c r="G148" i="2"/>
  <c r="H148" i="2" s="1"/>
  <c r="I148" i="2" s="1"/>
  <c r="G147" i="2"/>
  <c r="H147" i="2" s="1"/>
  <c r="I147" i="2" s="1"/>
  <c r="G146" i="2"/>
  <c r="H146" i="2" s="1"/>
  <c r="I146" i="2" s="1"/>
  <c r="H145" i="2"/>
  <c r="I145" i="2" s="1"/>
  <c r="G145" i="2"/>
  <c r="G144" i="2"/>
  <c r="H144" i="2" s="1"/>
  <c r="I144" i="2" s="1"/>
  <c r="I143" i="2"/>
  <c r="H143" i="2"/>
  <c r="G143" i="2"/>
  <c r="G142" i="2"/>
  <c r="H142" i="2" s="1"/>
  <c r="I142" i="2" s="1"/>
  <c r="G141" i="2"/>
  <c r="H141" i="2" s="1"/>
  <c r="I141" i="2" s="1"/>
  <c r="G140" i="2"/>
  <c r="H140" i="2" s="1"/>
  <c r="I140" i="2" s="1"/>
  <c r="H139" i="2"/>
  <c r="I139" i="2" s="1"/>
  <c r="G139" i="2"/>
  <c r="G138" i="2"/>
  <c r="H138" i="2" s="1"/>
  <c r="I138" i="2" s="1"/>
  <c r="H137" i="2"/>
  <c r="I137" i="2" s="1"/>
  <c r="G137" i="2"/>
  <c r="H136" i="2"/>
  <c r="I136" i="2" s="1"/>
  <c r="G136" i="2"/>
  <c r="G135" i="2"/>
  <c r="H135" i="2" s="1"/>
  <c r="I135" i="2" s="1"/>
  <c r="G134" i="2"/>
  <c r="H134" i="2" s="1"/>
  <c r="I134" i="2" s="1"/>
  <c r="H133" i="2"/>
  <c r="I133" i="2" s="1"/>
  <c r="G133" i="2"/>
  <c r="G132" i="2"/>
  <c r="H132" i="2" s="1"/>
  <c r="I132" i="2" s="1"/>
  <c r="G131" i="2"/>
  <c r="H131" i="2" s="1"/>
  <c r="I131" i="2" s="1"/>
  <c r="H130" i="2"/>
  <c r="I130" i="2" s="1"/>
  <c r="G130" i="2"/>
  <c r="G129" i="2"/>
  <c r="H129" i="2" s="1"/>
  <c r="I129" i="2" s="1"/>
  <c r="G128" i="2"/>
  <c r="H128" i="2" s="1"/>
  <c r="I128" i="2" s="1"/>
  <c r="G127" i="2"/>
  <c r="H127" i="2" s="1"/>
  <c r="I127" i="2" s="1"/>
  <c r="G126" i="2"/>
  <c r="H126" i="2" s="1"/>
  <c r="I126" i="2" s="1"/>
  <c r="H125" i="2"/>
  <c r="I125" i="2" s="1"/>
  <c r="G125" i="2"/>
  <c r="G124" i="2"/>
  <c r="H124" i="2" s="1"/>
  <c r="I124" i="2" s="1"/>
  <c r="G123" i="2"/>
  <c r="H123" i="2" s="1"/>
  <c r="I123" i="2" s="1"/>
  <c r="G122" i="2"/>
  <c r="H122" i="2" s="1"/>
  <c r="I122" i="2" s="1"/>
  <c r="H121" i="2"/>
  <c r="I121" i="2" s="1"/>
  <c r="G121" i="2"/>
  <c r="G120" i="2"/>
  <c r="H120" i="2" s="1"/>
  <c r="I120" i="2" s="1"/>
  <c r="G119" i="2"/>
  <c r="H119" i="2" s="1"/>
  <c r="I119" i="2" s="1"/>
  <c r="G118" i="2"/>
  <c r="H118" i="2" s="1"/>
  <c r="I118" i="2" s="1"/>
  <c r="H117" i="2"/>
  <c r="I117" i="2" s="1"/>
  <c r="G117" i="2"/>
  <c r="G116" i="2"/>
  <c r="H116" i="2" s="1"/>
  <c r="I116" i="2" s="1"/>
  <c r="I115" i="2"/>
  <c r="H115" i="2"/>
  <c r="G115" i="2"/>
  <c r="G114" i="2"/>
  <c r="H114" i="2" s="1"/>
  <c r="I114" i="2" s="1"/>
  <c r="G113" i="2"/>
  <c r="H113" i="2" s="1"/>
  <c r="I113" i="2" s="1"/>
  <c r="G112" i="2"/>
  <c r="H112" i="2" s="1"/>
  <c r="I112" i="2" s="1"/>
  <c r="G111" i="2"/>
  <c r="H111" i="2" s="1"/>
  <c r="I111" i="2" s="1"/>
  <c r="G110" i="2"/>
  <c r="H110" i="2" s="1"/>
  <c r="I110" i="2" s="1"/>
  <c r="G109" i="2"/>
  <c r="H109" i="2" s="1"/>
  <c r="I109" i="2" s="1"/>
  <c r="G108" i="2"/>
  <c r="H108" i="2" s="1"/>
  <c r="I108" i="2" s="1"/>
  <c r="G107" i="2"/>
  <c r="H107" i="2" s="1"/>
  <c r="I107" i="2" s="1"/>
  <c r="G106" i="2"/>
  <c r="H106" i="2" s="1"/>
  <c r="I106" i="2" s="1"/>
  <c r="G105" i="2"/>
  <c r="H105" i="2" s="1"/>
  <c r="I105" i="2" s="1"/>
  <c r="G104" i="2"/>
  <c r="H104" i="2" s="1"/>
  <c r="I104" i="2" s="1"/>
  <c r="H103" i="2"/>
  <c r="I103" i="2" s="1"/>
  <c r="G103" i="2"/>
  <c r="G102" i="2"/>
  <c r="H102" i="2" s="1"/>
  <c r="I102" i="2" s="1"/>
  <c r="H101" i="2"/>
  <c r="I101" i="2" s="1"/>
  <c r="G101" i="2"/>
  <c r="G100" i="2"/>
  <c r="H100" i="2" s="1"/>
  <c r="I100" i="2" s="1"/>
  <c r="H99" i="2"/>
  <c r="I99" i="2" s="1"/>
  <c r="G99" i="2"/>
  <c r="G98" i="2"/>
  <c r="H98" i="2" s="1"/>
  <c r="I98" i="2" s="1"/>
  <c r="G97" i="2"/>
  <c r="H97" i="2" s="1"/>
  <c r="I97" i="2" s="1"/>
  <c r="H96" i="2"/>
  <c r="I96" i="2" s="1"/>
  <c r="G96" i="2"/>
  <c r="H95" i="2"/>
  <c r="I95" i="2" s="1"/>
  <c r="G95" i="2"/>
  <c r="G94" i="2"/>
  <c r="H94" i="2" s="1"/>
  <c r="I94" i="2" s="1"/>
  <c r="H93" i="2"/>
  <c r="I93" i="2" s="1"/>
  <c r="G93" i="2"/>
  <c r="H92" i="2"/>
  <c r="I92" i="2" s="1"/>
  <c r="G92" i="2"/>
  <c r="G91" i="2"/>
  <c r="H91" i="2" s="1"/>
  <c r="I91" i="2" s="1"/>
  <c r="G90" i="2"/>
  <c r="H90" i="2" s="1"/>
  <c r="I90" i="2" s="1"/>
  <c r="G89" i="2"/>
  <c r="H89" i="2" s="1"/>
  <c r="I89" i="2" s="1"/>
  <c r="G88" i="2"/>
  <c r="H88" i="2" s="1"/>
  <c r="I88" i="2" s="1"/>
  <c r="G87" i="2"/>
  <c r="H87" i="2" s="1"/>
  <c r="I87" i="2" s="1"/>
  <c r="I86" i="2"/>
  <c r="H86" i="2"/>
  <c r="G86" i="2"/>
  <c r="G85" i="2"/>
  <c r="H85" i="2" s="1"/>
  <c r="I85" i="2" s="1"/>
  <c r="G84" i="2"/>
  <c r="H84" i="2" s="1"/>
  <c r="I84" i="2" s="1"/>
  <c r="G83" i="2"/>
  <c r="H83" i="2" s="1"/>
  <c r="I83" i="2" s="1"/>
  <c r="G82" i="2"/>
  <c r="H82" i="2" s="1"/>
  <c r="I82" i="2" s="1"/>
  <c r="G81" i="2"/>
  <c r="H81" i="2" s="1"/>
  <c r="I81" i="2" s="1"/>
  <c r="G80" i="2"/>
  <c r="H80" i="2" s="1"/>
  <c r="I80" i="2" s="1"/>
  <c r="G79" i="2"/>
  <c r="H79" i="2" s="1"/>
  <c r="I79" i="2" s="1"/>
  <c r="G78" i="2"/>
  <c r="H78" i="2" s="1"/>
  <c r="I78" i="2" s="1"/>
  <c r="H77" i="2"/>
  <c r="I77" i="2" s="1"/>
  <c r="G77" i="2"/>
  <c r="G76" i="2"/>
  <c r="H76" i="2" s="1"/>
  <c r="I76" i="2" s="1"/>
  <c r="G75" i="2"/>
  <c r="H75" i="2" s="1"/>
  <c r="I75" i="2" s="1"/>
  <c r="H74" i="2"/>
  <c r="I74" i="2" s="1"/>
  <c r="G74" i="2"/>
  <c r="H73" i="2"/>
  <c r="I73" i="2" s="1"/>
  <c r="G73" i="2"/>
  <c r="H72" i="2"/>
  <c r="I72" i="2" s="1"/>
  <c r="G72" i="2"/>
  <c r="H71" i="2"/>
  <c r="I71" i="2" s="1"/>
  <c r="G71" i="2"/>
  <c r="G70" i="2"/>
  <c r="H70" i="2" s="1"/>
  <c r="I70" i="2" s="1"/>
  <c r="G69" i="2"/>
  <c r="H69" i="2" s="1"/>
  <c r="I69" i="2" s="1"/>
  <c r="G68" i="2"/>
  <c r="H68" i="2" s="1"/>
  <c r="I68" i="2" s="1"/>
  <c r="H67" i="2"/>
  <c r="I67" i="2" s="1"/>
  <c r="G67" i="2"/>
  <c r="G66" i="2"/>
  <c r="H66" i="2" s="1"/>
  <c r="I66" i="2" s="1"/>
  <c r="G65" i="2"/>
  <c r="H65" i="2" s="1"/>
  <c r="I65" i="2" s="1"/>
  <c r="G64" i="2"/>
  <c r="H64" i="2" s="1"/>
  <c r="I64" i="2" s="1"/>
  <c r="G63" i="2"/>
  <c r="H63" i="2" s="1"/>
  <c r="I63" i="2" s="1"/>
  <c r="I62" i="2"/>
  <c r="G62" i="2"/>
  <c r="H62" i="2" s="1"/>
  <c r="G61" i="2"/>
  <c r="H61" i="2" s="1"/>
  <c r="I61" i="2" s="1"/>
  <c r="G60" i="2"/>
  <c r="H60" i="2" s="1"/>
  <c r="I60" i="2" s="1"/>
  <c r="G59" i="2"/>
  <c r="H59" i="2" s="1"/>
  <c r="I59" i="2" s="1"/>
  <c r="I58" i="2"/>
  <c r="G58" i="2"/>
  <c r="H58" i="2" s="1"/>
  <c r="I57" i="2"/>
  <c r="H57" i="2"/>
  <c r="G57" i="2"/>
  <c r="G56" i="2"/>
  <c r="H56" i="2" s="1"/>
  <c r="I56" i="2" s="1"/>
  <c r="H55" i="2"/>
  <c r="I55" i="2" s="1"/>
  <c r="G55" i="2"/>
  <c r="G54" i="2"/>
  <c r="H54" i="2" s="1"/>
  <c r="I54" i="2" s="1"/>
  <c r="G53" i="2"/>
  <c r="H53" i="2" s="1"/>
  <c r="I53" i="2" s="1"/>
  <c r="G52" i="2"/>
  <c r="H52" i="2" s="1"/>
  <c r="I52" i="2" s="1"/>
  <c r="H51" i="2"/>
  <c r="I51" i="2" s="1"/>
  <c r="G51" i="2"/>
  <c r="G50" i="2"/>
  <c r="H50" i="2" s="1"/>
  <c r="I50" i="2" s="1"/>
  <c r="H49" i="2"/>
  <c r="I49" i="2" s="1"/>
  <c r="G49" i="2"/>
  <c r="I48" i="2"/>
  <c r="H48" i="2"/>
  <c r="G48" i="2"/>
  <c r="G47" i="2"/>
  <c r="H47" i="2" s="1"/>
  <c r="I47" i="2" s="1"/>
  <c r="G46" i="2"/>
  <c r="H46" i="2" s="1"/>
  <c r="I46" i="2" s="1"/>
  <c r="H45" i="2"/>
  <c r="I45" i="2" s="1"/>
  <c r="G45" i="2"/>
  <c r="G44" i="2"/>
  <c r="H44" i="2" s="1"/>
  <c r="I44" i="2" s="1"/>
  <c r="G43" i="2"/>
  <c r="H43" i="2" s="1"/>
  <c r="I43" i="2" s="1"/>
  <c r="G42" i="2"/>
  <c r="H42" i="2" s="1"/>
  <c r="I42" i="2" s="1"/>
  <c r="G41" i="2"/>
  <c r="H41" i="2" s="1"/>
  <c r="I41" i="2" s="1"/>
  <c r="G40" i="2"/>
  <c r="H40" i="2" s="1"/>
  <c r="I40" i="2" s="1"/>
  <c r="G39" i="2"/>
  <c r="H39" i="2" s="1"/>
  <c r="I39" i="2" s="1"/>
  <c r="G38" i="2"/>
  <c r="H38" i="2" s="1"/>
  <c r="I38" i="2" s="1"/>
  <c r="G37" i="2"/>
  <c r="H37" i="2" s="1"/>
  <c r="I37" i="2" s="1"/>
  <c r="I36" i="2"/>
  <c r="G36" i="2"/>
  <c r="H36" i="2" s="1"/>
  <c r="G35" i="2"/>
  <c r="H35" i="2" s="1"/>
  <c r="I35" i="2" s="1"/>
  <c r="G34" i="2"/>
  <c r="H34" i="2" s="1"/>
  <c r="I34" i="2" s="1"/>
  <c r="I33" i="2"/>
  <c r="H33" i="2"/>
  <c r="G33" i="2"/>
  <c r="G32" i="2"/>
  <c r="H32" i="2" s="1"/>
  <c r="I32" i="2" s="1"/>
  <c r="G31" i="2"/>
  <c r="H31" i="2" s="1"/>
  <c r="I31" i="2" s="1"/>
  <c r="G30" i="2"/>
  <c r="H30" i="2" s="1"/>
  <c r="I30" i="2" s="1"/>
  <c r="H29" i="2"/>
  <c r="I29" i="2" s="1"/>
  <c r="G29" i="2"/>
  <c r="H28" i="2"/>
  <c r="I28" i="2" s="1"/>
  <c r="G28" i="2"/>
  <c r="H27" i="2"/>
  <c r="I27" i="2" s="1"/>
  <c r="G27" i="2"/>
  <c r="G26" i="2"/>
  <c r="H26" i="2" s="1"/>
  <c r="I26" i="2" s="1"/>
  <c r="G25" i="2"/>
  <c r="H25" i="2" s="1"/>
  <c r="I25" i="2" s="1"/>
  <c r="G24" i="2"/>
  <c r="H24" i="2" s="1"/>
  <c r="I24" i="2" s="1"/>
  <c r="G23" i="2"/>
  <c r="H23" i="2" s="1"/>
  <c r="I23" i="2" s="1"/>
  <c r="G22" i="2"/>
  <c r="H22" i="2" s="1"/>
  <c r="I22" i="2" s="1"/>
  <c r="G21" i="2"/>
  <c r="H21" i="2" s="1"/>
  <c r="I21" i="2" s="1"/>
  <c r="G20" i="2"/>
  <c r="H20" i="2" s="1"/>
  <c r="I20" i="2" s="1"/>
  <c r="G19" i="2"/>
  <c r="H19" i="2" s="1"/>
  <c r="I19" i="2" s="1"/>
  <c r="I18" i="2"/>
  <c r="G18" i="2"/>
  <c r="H18" i="2" s="1"/>
  <c r="G17" i="2"/>
  <c r="H17" i="2" s="1"/>
  <c r="I17" i="2" s="1"/>
  <c r="G16" i="2"/>
  <c r="H16" i="2" s="1"/>
  <c r="I16" i="2" s="1"/>
  <c r="G15" i="2"/>
  <c r="H15" i="2" s="1"/>
  <c r="I15" i="2" s="1"/>
  <c r="G14" i="2"/>
  <c r="H14" i="2" s="1"/>
  <c r="I14" i="2" s="1"/>
  <c r="G13" i="2"/>
  <c r="H13" i="2" s="1"/>
  <c r="I13" i="2" s="1"/>
  <c r="G12" i="2"/>
  <c r="H12" i="2" s="1"/>
  <c r="I12" i="2" s="1"/>
  <c r="H11" i="2"/>
  <c r="I11" i="2" s="1"/>
  <c r="G11" i="2"/>
  <c r="G10" i="2"/>
  <c r="H10" i="2" s="1"/>
  <c r="I10" i="2" s="1"/>
  <c r="H9" i="2"/>
  <c r="I9" i="2" s="1"/>
  <c r="G9" i="2"/>
  <c r="I8" i="2"/>
  <c r="H8" i="2"/>
  <c r="G8" i="2"/>
  <c r="G7" i="2"/>
  <c r="H7" i="2" s="1"/>
  <c r="I7" i="2" s="1"/>
  <c r="H6" i="2"/>
  <c r="I6" i="2" s="1"/>
  <c r="G6" i="2"/>
  <c r="G5" i="2"/>
  <c r="H5" i="2" s="1"/>
  <c r="I5" i="2" s="1"/>
  <c r="G4" i="2"/>
  <c r="H4" i="2" s="1"/>
  <c r="I4" i="2" s="1"/>
  <c r="G3" i="2"/>
  <c r="H3" i="2" s="1"/>
  <c r="I3" i="2" s="1"/>
  <c r="H2" i="2"/>
  <c r="G2" i="2"/>
  <c r="H230" i="2" l="1"/>
  <c r="Q6" i="2"/>
  <c r="N6" i="2"/>
  <c r="N7" i="2" s="1"/>
  <c r="I206" i="2"/>
  <c r="I2" i="2"/>
  <c r="I230" i="2" s="1"/>
  <c r="G230" i="2"/>
  <c r="Q7" i="2" l="1"/>
  <c r="Q8" i="2" s="1"/>
  <c r="N8" i="2"/>
  <c r="N9" i="2" s="1"/>
  <c r="L3" i="1" l="1"/>
  <c r="L4" i="1" s="1"/>
</calcChain>
</file>

<file path=xl/sharedStrings.xml><?xml version="1.0" encoding="utf-8"?>
<sst xmlns="http://schemas.openxmlformats.org/spreadsheetml/2006/main" count="1629" uniqueCount="59">
  <si>
    <t>Region</t>
  </si>
  <si>
    <t>DC Name</t>
  </si>
  <si>
    <t>Month</t>
  </si>
  <si>
    <t>%  Commitment</t>
  </si>
  <si>
    <t>Dollar Impact</t>
  </si>
  <si>
    <t>CPH Impact</t>
  </si>
  <si>
    <t>Live?</t>
  </si>
  <si>
    <t>Target Dollar Amount</t>
  </si>
  <si>
    <t>Feb</t>
  </si>
  <si>
    <t>Yes</t>
  </si>
  <si>
    <t>Mar</t>
  </si>
  <si>
    <t>Summary</t>
  </si>
  <si>
    <t>Total Dollar Impact (Go Live)</t>
  </si>
  <si>
    <t>Apr</t>
  </si>
  <si>
    <t>Difference vs Target</t>
  </si>
  <si>
    <t>May</t>
  </si>
  <si>
    <t>Jun</t>
  </si>
  <si>
    <t>Jul</t>
  </si>
  <si>
    <t>Aug</t>
  </si>
  <si>
    <t>No</t>
  </si>
  <si>
    <t>Sep</t>
  </si>
  <si>
    <t>Oct</t>
  </si>
  <si>
    <t>Nov</t>
  </si>
  <si>
    <t>Dec</t>
  </si>
  <si>
    <t>Jan</t>
  </si>
  <si>
    <t>DC ID</t>
  </si>
  <si>
    <t>South</t>
  </si>
  <si>
    <t>Dallas</t>
  </si>
  <si>
    <t>West</t>
  </si>
  <si>
    <t>Topeka</t>
  </si>
  <si>
    <t>North</t>
  </si>
  <si>
    <t>Breinigsville</t>
  </si>
  <si>
    <t>Monroe</t>
  </si>
  <si>
    <t>Lake Park</t>
  </si>
  <si>
    <t>McCalla</t>
  </si>
  <si>
    <t>Redlands</t>
  </si>
  <si>
    <t>West Columbia</t>
  </si>
  <si>
    <t>Pittston</t>
  </si>
  <si>
    <t>Van Buren</t>
  </si>
  <si>
    <t>Westfield</t>
  </si>
  <si>
    <t>Atlanta</t>
  </si>
  <si>
    <t>Salem</t>
  </si>
  <si>
    <t>Tracy</t>
  </si>
  <si>
    <t>Ontario</t>
  </si>
  <si>
    <t>Tolleson</t>
  </si>
  <si>
    <t>Joliet</t>
  </si>
  <si>
    <t>Winchester</t>
  </si>
  <si>
    <t>Houston</t>
  </si>
  <si>
    <t>Ramp</t>
  </si>
  <si>
    <t>Baseline Hrs</t>
  </si>
  <si>
    <t>Hours Saved</t>
  </si>
  <si>
    <t>Dollar Impact w/ 32.73% Fringe</t>
  </si>
  <si>
    <t>Plan A - High Certainty (Houston /Winchester 1H)</t>
  </si>
  <si>
    <t>RDC Average Actual Wage 202509</t>
  </si>
  <si>
    <t>Total Dollar Impact (Go Live, w/ Payout)</t>
  </si>
  <si>
    <t>Total Dollar Impact (Go Live, w/ Payout, w/ 32.73% Fringe)</t>
  </si>
  <si>
    <t>Total Dollar Impact (Go Live, w/ 32.73% Fringe)</t>
  </si>
  <si>
    <t>Difference vs Target (w/ payout, w/ 32.73% Fringe)</t>
  </si>
  <si>
    <t>Difference vs Target (w/ 32.73% Fringe)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</si>
</sst>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&quot;$&quot;0.0,,\ &quot;M&quot;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2" borderId="1" applyNumberFormat="0" applyAlignment="0" applyProtection="0"/>
  </cellStyleXfs>
  <cellXfs count="19">
    <xf numFmtId="0" fontId="0" fillId="0" borderId="0" xfId="0"/>
    <xf numFmtId="0" fontId="1" fillId="0" borderId="0" xfId="0" applyFont="1"/>
    <xf numFmtId="44" fontId="0" fillId="0" borderId="0" xfId="1" applyFont="1"/>
    <xf numFmtId="164" fontId="0" fillId="0" borderId="0" xfId="1" applyNumberFormat="1" applyFont="1" applyAlignment="1">
      <alignment horizontal="left" indent="3"/>
    </xf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2" borderId="2" xfId="3" applyBorder="1" applyAlignment="1">
      <alignment horizontal="center"/>
    </xf>
    <xf numFmtId="0" fontId="3" fillId="2" borderId="0" xfId="3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6" fontId="0" fillId="0" borderId="0" xfId="1" applyNumberFormat="1" applyFont="1"/>
    <xf numFmtId="0" fontId="4" fillId="0" borderId="0" xfId="0" applyFont="1"/>
    <xf numFmtId="44" fontId="0" fillId="0" borderId="0" xfId="1" applyFont="1" applyFill="1" applyBorder="1" applyAlignment="1">
      <alignment horizontal="center" vertical="center"/>
    </xf>
    <xf numFmtId="44" fontId="0" fillId="0" borderId="0" xfId="0" applyNumberFormat="1"/>
    <xf numFmtId="165" fontId="0" fillId="0" borderId="0" xfId="0" applyNumberFormat="1"/>
    <xf numFmtId="9" fontId="0" fillId="0" borderId="0" xfId="2" applyFont="1"/>
  </cellXfs>
  <cellStyles count="4">
    <cellStyle name="Calculation" xfId="3" builtinId="22"/>
    <cellStyle name="Currency" xfId="1" builtinId="4"/>
    <cellStyle name="Normal" xfId="0" builtinId="0"/>
    <cellStyle name="Percent" xfId="2" builtinId="5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  <alignment horizontal="center" vertical="center" textRotation="0" wrapText="0" indent="0" justifyLastLine="0" shrinkToFit="0" readingOrder="0"/>
    </dxf>
    <dxf>
      <numFmt numFmtId="164" formatCode="_(&quot;$&quot;* #,##0_);_(&quot;$&quot;* \(#,##0\);_(&quot;$&quot;* &quot;-&quot;??_);_(@_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  <alignment horizontal="center" vertical="center" textRotation="0" wrapText="0" indent="0" justifyLastLine="0" shrinkToFit="0" readingOrder="0"/>
    </dxf>
    <dxf>
      <numFmt numFmtId="165" formatCode="_(* #,##0_);_(* \(#,##0\);_(* &quot;-&quot;??_);_(@_)"/>
      <alignment horizontal="center" vertical="center" textRotation="0" wrapText="0" indent="0" justifyLastLine="0" shrinkToFit="0" readingOrder="0"/>
    </dxf>
    <dxf>
      <numFmt numFmtId="165" formatCode="_(* #,##0_);_(* \(#,##0\);_(* &quot;-&quot;??_);_(@_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_(* #,##0_);_(* \(#,##0\);_(* &quot;-&quot;??_);_(@_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(&quot;$&quot;* #,##0_);_(&quot;$&quot;* \(#,##0\);_(&quot;$&quot;* &quot;-&quot;??_);_(@_)"/>
      <alignment horizontal="left" vertical="bottom" textRotation="0" wrapText="0" relativeIndent="1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42524B-4A08-4009-9969-916352317CCE}" name="DCTable3" displayName="DCTable3" ref="A1:J230" totalsRowCount="1" headerRowDxfId="22" dataDxfId="21" totalsRowDxfId="20">
  <autoFilter ref="A1:J229" xr:uid="{00000000-0009-0000-0100-000001000000}"/>
  <tableColumns count="10">
    <tableColumn id="7" xr3:uid="{3D97BFAB-2C02-4728-A761-10F48E49D75B}" name="Region" dataDxfId="18" totalsRowDxfId="19"/>
    <tableColumn id="10" xr3:uid="{22D89698-DBCE-492A-8EC9-2557076D9BCF}" name="DC ID" dataDxfId="16" totalsRowDxfId="17"/>
    <tableColumn id="1" xr3:uid="{C579096D-034F-40C3-9E96-70196F900A2D}" name="DC Name" dataDxfId="14" totalsRowDxfId="15"/>
    <tableColumn id="2" xr3:uid="{983DB06F-60A0-463C-8D9B-43C906A897D3}" name="Month" dataDxfId="12" totalsRowDxfId="13"/>
    <tableColumn id="3" xr3:uid="{EC68B5F5-794E-4243-A729-AA762B106EBA}" name="Ramp" dataDxfId="10" totalsRowDxfId="11" dataCellStyle="Percent" totalsRowCellStyle="Percent"/>
    <tableColumn id="5" xr3:uid="{4565F865-FEB2-4328-B8C8-59254A68B4CD}" name="Baseline Hrs" totalsRowFunction="custom" dataDxfId="8" totalsRowDxfId="9">
      <totalsRowFormula>SUM(F2:F229)</totalsRowFormula>
    </tableColumn>
    <tableColumn id="8" xr3:uid="{A9B45245-915F-43EF-BC0D-C408B074F3AC}" name="Hours Saved" totalsRowFunction="custom" dataDxfId="6" totalsRowDxfId="7">
      <calculatedColumnFormula>DCTable3[[#This Row],[Ramp]]*DCTable3[[#This Row],[Baseline Hrs]]</calculatedColumnFormula>
      <totalsRowFormula>SUM(G2:G229)</totalsRowFormula>
    </tableColumn>
    <tableColumn id="4" xr3:uid="{28E9E3EF-A1BE-4E36-A685-ADCDA3FC87E8}" name="Dollar Impact" totalsRowFunction="custom" dataDxfId="4" totalsRowDxfId="5" dataCellStyle="Currency" totalsRowCellStyle="Currency">
      <calculatedColumnFormula>DCTable3[[#This Row],[Hours Saved]]*25.23</calculatedColumnFormula>
      <totalsRowFormula>SUM(H2:H229)</totalsRowFormula>
    </tableColumn>
    <tableColumn id="9" xr3:uid="{75F8EEA9-CCA7-4A95-8A9D-D2B914955C60}" name="Dollar Impact w/ 32.73% Fringe" totalsRowFunction="custom" dataDxfId="2" totalsRowDxfId="3" dataCellStyle="Currency" totalsRowCellStyle="Currency">
      <calculatedColumnFormula>DCTable3[[#This Row],[Dollar Impact]]*1.3273</calculatedColumnFormula>
      <totalsRowFormula>SUM(I2:I229)</totalsRowFormula>
    </tableColumn>
    <tableColumn id="6" xr3:uid="{C2589490-ACEC-41BA-A991-C06BD8DA3C2A}" name="Live?" dataDxfId="0" totalsRow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CTable" displayName="DCTable" ref="A1:H229">
  <autoFilter ref="A1:H229" xr:uid="{00000000-0009-0000-0100-000001000000}"/>
  <tableColumns count="8">
    <tableColumn id="7" xr3:uid="{303171F4-A0DD-4D13-95D4-4BC56A84CE10}" name="Region"/>
    <tableColumn id="10" xr3:uid="{0BA0ADDB-105F-4502-B117-60BB051E4BEC}" name="DC ID"/>
    <tableColumn id="1" xr3:uid="{00000000-0010-0000-0000-000001000000}" name="DC Name"/>
    <tableColumn id="2" xr3:uid="{00000000-0010-0000-0000-000002000000}" name="Month"/>
    <tableColumn id="3" xr3:uid="{00000000-0010-0000-0000-000003000000}" name="%  Commitment"/>
    <tableColumn id="4" xr3:uid="{00000000-0010-0000-0000-000004000000}" name="Dollar Impact" dataDxfId="23" dataCellStyle="Currency"/>
    <tableColumn id="5" xr3:uid="{00000000-0010-0000-0000-000005000000}" name="CPH Impact"/>
    <tableColumn id="6" xr3:uid="{00000000-0010-0000-0000-000006000000}" name="Live?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107EC-0401-4449-9605-55CC66153F3C}">
  <dimension ref="A1:Q232"/>
  <sheetViews>
    <sheetView tabSelected="1" workbookViewId="0">
      <pane ySplit="1" topLeftCell="A2" activePane="bottomLeft" state="frozen"/>
      <selection pane="bottomLeft" activeCell="C15" sqref="C15"/>
    </sheetView>
  </sheetViews>
  <sheetFormatPr defaultRowHeight="15" x14ac:dyDescent="0.25"/>
  <cols>
    <col min="1" max="2" width="9" customWidth="1"/>
    <col min="3" max="3" width="23.28515625" customWidth="1"/>
    <col min="4" max="4" width="16" bestFit="1" customWidth="1"/>
    <col min="5" max="5" width="15" style="18" customWidth="1"/>
    <col min="6" max="7" width="15" customWidth="1"/>
    <col min="8" max="8" width="20" bestFit="1" customWidth="1"/>
    <col min="9" max="9" width="20" customWidth="1"/>
    <col min="10" max="11" width="18.28515625" customWidth="1"/>
    <col min="12" max="12" width="28" bestFit="1" customWidth="1"/>
    <col min="13" max="13" width="38.7109375" bestFit="1" customWidth="1"/>
    <col min="14" max="14" width="13.28515625" bestFit="1" customWidth="1"/>
    <col min="16" max="16" width="48" bestFit="1" customWidth="1"/>
    <col min="17" max="17" width="11.85546875" customWidth="1"/>
  </cols>
  <sheetData>
    <row r="1" spans="1:17" x14ac:dyDescent="0.25">
      <c r="A1" s="6" t="s">
        <v>0</v>
      </c>
      <c r="B1" s="6" t="s">
        <v>25</v>
      </c>
      <c r="C1" s="6" t="s">
        <v>1</v>
      </c>
      <c r="D1" s="6" t="s">
        <v>2</v>
      </c>
      <c r="E1" s="7" t="s">
        <v>48</v>
      </c>
      <c r="F1" s="6" t="s">
        <v>49</v>
      </c>
      <c r="G1" s="6" t="s">
        <v>50</v>
      </c>
      <c r="H1" s="6" t="s">
        <v>4</v>
      </c>
      <c r="I1" s="6" t="s">
        <v>51</v>
      </c>
      <c r="J1" s="6" t="s">
        <v>6</v>
      </c>
      <c r="L1" s="8" t="s">
        <v>52</v>
      </c>
      <c r="M1" s="9"/>
      <c r="N1" s="9"/>
      <c r="O1" s="9"/>
      <c r="P1" s="9"/>
      <c r="Q1" s="9"/>
    </row>
    <row r="2" spans="1:17" x14ac:dyDescent="0.25">
      <c r="A2" s="6" t="s">
        <v>26</v>
      </c>
      <c r="B2" s="6">
        <v>5023</v>
      </c>
      <c r="C2" s="6" t="s">
        <v>27</v>
      </c>
      <c r="D2" s="6">
        <v>202601</v>
      </c>
      <c r="E2" s="10">
        <v>2.066523734477865E-2</v>
      </c>
      <c r="F2" s="11">
        <v>45163.412538914446</v>
      </c>
      <c r="G2" s="11">
        <f>DCTable3[[#This Row],[Ramp]]*DCTable3[[#This Row],[Baseline Hrs]]</f>
        <v>933.31263941681914</v>
      </c>
      <c r="H2" s="12">
        <f>DCTable3[[#This Row],[Hours Saved]]*25.23</f>
        <v>23547.477892486346</v>
      </c>
      <c r="I2" s="12">
        <f>DCTable3[[#This Row],[Dollar Impact]]*1.3273</f>
        <v>31254.567406697126</v>
      </c>
      <c r="J2" s="6" t="s">
        <v>19</v>
      </c>
    </row>
    <row r="3" spans="1:17" x14ac:dyDescent="0.25">
      <c r="A3" s="6" t="s">
        <v>26</v>
      </c>
      <c r="B3" s="6">
        <v>5023</v>
      </c>
      <c r="C3" s="6" t="s">
        <v>27</v>
      </c>
      <c r="D3" s="6">
        <v>202602</v>
      </c>
      <c r="E3" s="10">
        <v>2.066523734477865E-2</v>
      </c>
      <c r="F3" s="11">
        <v>45822.956821599881</v>
      </c>
      <c r="G3" s="11">
        <f>DCTable3[[#This Row],[Ramp]]*DCTable3[[#This Row],[Baseline Hrs]]</f>
        <v>946.94227855790541</v>
      </c>
      <c r="H3" s="12">
        <f>DCTable3[[#This Row],[Hours Saved]]*25.23</f>
        <v>23891.353688015955</v>
      </c>
      <c r="I3" s="12">
        <f>DCTable3[[#This Row],[Dollar Impact]]*1.3273</f>
        <v>31710.993750103575</v>
      </c>
      <c r="J3" s="6" t="s">
        <v>19</v>
      </c>
      <c r="L3" s="1" t="s">
        <v>7</v>
      </c>
      <c r="M3" s="13">
        <v>6000000</v>
      </c>
      <c r="P3" s="14"/>
      <c r="Q3" s="14"/>
    </row>
    <row r="4" spans="1:17" x14ac:dyDescent="0.25">
      <c r="A4" s="6" t="s">
        <v>26</v>
      </c>
      <c r="B4" s="6">
        <v>5023</v>
      </c>
      <c r="C4" s="6" t="s">
        <v>27</v>
      </c>
      <c r="D4" s="6">
        <v>202603</v>
      </c>
      <c r="E4" s="10">
        <v>2.066523734477865E-2</v>
      </c>
      <c r="F4" s="11">
        <v>56494.956920870012</v>
      </c>
      <c r="G4" s="11">
        <f>DCTable3[[#This Row],[Ramp]]*DCTable3[[#This Row],[Baseline Hrs]]</f>
        <v>1167.481693552824</v>
      </c>
      <c r="H4" s="12">
        <f>DCTable3[[#This Row],[Hours Saved]]*25.23</f>
        <v>29455.563128337752</v>
      </c>
      <c r="I4" s="12">
        <f>DCTable3[[#This Row],[Dollar Impact]]*1.3273</f>
        <v>39096.368940242697</v>
      </c>
      <c r="J4" s="6" t="s">
        <v>19</v>
      </c>
      <c r="L4" s="14" t="s">
        <v>53</v>
      </c>
      <c r="M4" s="2">
        <v>25.23</v>
      </c>
      <c r="P4" s="15"/>
      <c r="Q4" s="15"/>
    </row>
    <row r="5" spans="1:17" x14ac:dyDescent="0.25">
      <c r="A5" s="6" t="s">
        <v>26</v>
      </c>
      <c r="B5" s="6">
        <v>5023</v>
      </c>
      <c r="C5" s="6" t="s">
        <v>27</v>
      </c>
      <c r="D5" s="6">
        <v>202604</v>
      </c>
      <c r="E5" s="10">
        <v>2.066523734477865E-2</v>
      </c>
      <c r="F5" s="11">
        <v>42034.135367142546</v>
      </c>
      <c r="G5" s="11">
        <f>DCTable3[[#This Row],[Ramp]]*DCTable3[[#This Row],[Baseline Hrs]]</f>
        <v>868.64538394455519</v>
      </c>
      <c r="H5" s="12">
        <f>DCTable3[[#This Row],[Hours Saved]]*25.23</f>
        <v>21915.923036921129</v>
      </c>
      <c r="I5" s="12">
        <f>DCTable3[[#This Row],[Dollar Impact]]*1.3273</f>
        <v>29089.004646905414</v>
      </c>
      <c r="J5" s="6" t="s">
        <v>19</v>
      </c>
    </row>
    <row r="6" spans="1:17" x14ac:dyDescent="0.25">
      <c r="A6" s="6" t="s">
        <v>26</v>
      </c>
      <c r="B6" s="6">
        <v>5023</v>
      </c>
      <c r="C6" s="6" t="s">
        <v>27</v>
      </c>
      <c r="D6" s="6">
        <v>202605</v>
      </c>
      <c r="E6" s="10">
        <v>2.066523734477865E-2</v>
      </c>
      <c r="F6" s="11">
        <v>43005.837422748526</v>
      </c>
      <c r="G6" s="11">
        <f>DCTable3[[#This Row],[Ramp]]*DCTable3[[#This Row],[Baseline Hrs]]</f>
        <v>888.72583755206199</v>
      </c>
      <c r="H6" s="12">
        <f>DCTable3[[#This Row],[Hours Saved]]*25.23</f>
        <v>22422.552881438525</v>
      </c>
      <c r="I6" s="12">
        <f>DCTable3[[#This Row],[Dollar Impact]]*1.3273</f>
        <v>29761.454439533354</v>
      </c>
      <c r="J6" s="6" t="s">
        <v>19</v>
      </c>
      <c r="L6" s="1" t="s">
        <v>11</v>
      </c>
      <c r="M6" t="s">
        <v>12</v>
      </c>
      <c r="N6" s="13">
        <f>SUMIF(DCTable3[Live?],"Yes",DCTable3[Dollar Impact])</f>
        <v>256997.46973403741</v>
      </c>
      <c r="P6" t="s">
        <v>54</v>
      </c>
      <c r="Q6" s="13">
        <f>(SUMIF(DCTable3[Live?],"Yes",DCTable3[Dollar Impact]))*0.7</f>
        <v>179898.22881382616</v>
      </c>
    </row>
    <row r="7" spans="1:17" x14ac:dyDescent="0.25">
      <c r="A7" s="6" t="s">
        <v>26</v>
      </c>
      <c r="B7" s="6">
        <v>5023</v>
      </c>
      <c r="C7" s="6" t="s">
        <v>27</v>
      </c>
      <c r="D7" s="6">
        <v>202606</v>
      </c>
      <c r="E7" s="10">
        <v>2.066523734477865E-2</v>
      </c>
      <c r="F7" s="11">
        <v>55622.238074983143</v>
      </c>
      <c r="G7" s="11">
        <f>DCTable3[[#This Row],[Ramp]]*DCTable3[[#This Row],[Baseline Hrs]]</f>
        <v>1149.4467514673106</v>
      </c>
      <c r="H7" s="12">
        <f>DCTable3[[#This Row],[Hours Saved]]*25.23</f>
        <v>29000.541539520247</v>
      </c>
      <c r="I7" s="12">
        <f>DCTable3[[#This Row],[Dollar Impact]]*1.3273</f>
        <v>38492.418785405222</v>
      </c>
      <c r="J7" s="6" t="s">
        <v>19</v>
      </c>
      <c r="M7" t="s">
        <v>14</v>
      </c>
      <c r="N7" s="13">
        <f xml:space="preserve"> N6-M3</f>
        <v>-5743002.5302659627</v>
      </c>
      <c r="P7" t="s">
        <v>55</v>
      </c>
      <c r="Q7" s="13">
        <f>(SUMIF(DCTable3[Live?],"Yes",DCTable3[Dollar Impact w/ 32.73% Fringe]))*0.7</f>
        <v>238778.91910459145</v>
      </c>
    </row>
    <row r="8" spans="1:17" x14ac:dyDescent="0.25">
      <c r="A8" s="6" t="s">
        <v>26</v>
      </c>
      <c r="B8" s="6">
        <v>5023</v>
      </c>
      <c r="C8" s="6" t="s">
        <v>27</v>
      </c>
      <c r="D8" s="6">
        <v>202607</v>
      </c>
      <c r="E8" s="10">
        <v>2.066523734477865E-2</v>
      </c>
      <c r="F8" s="11">
        <v>41737.792984317231</v>
      </c>
      <c r="G8" s="11">
        <f>DCTable3[[#This Row],[Ramp]]*DCTable3[[#This Row],[Baseline Hrs]]</f>
        <v>862.52139826815278</v>
      </c>
      <c r="H8" s="12">
        <f>DCTable3[[#This Row],[Hours Saved]]*25.23</f>
        <v>21761.414878305495</v>
      </c>
      <c r="I8" s="12">
        <f>DCTable3[[#This Row],[Dollar Impact]]*1.3273</f>
        <v>28883.925967974883</v>
      </c>
      <c r="J8" s="6" t="s">
        <v>19</v>
      </c>
      <c r="M8" t="s">
        <v>56</v>
      </c>
      <c r="N8" s="13">
        <f>SUMIF(DCTable3[Live?],"Yes",DCTable3[Dollar Impact w/ 32.73% Fringe])</f>
        <v>341112.74157798779</v>
      </c>
      <c r="P8" t="s">
        <v>57</v>
      </c>
      <c r="Q8" s="13">
        <f>Q7-M3</f>
        <v>-5761221.080895409</v>
      </c>
    </row>
    <row r="9" spans="1:17" x14ac:dyDescent="0.25">
      <c r="A9" s="6" t="s">
        <v>26</v>
      </c>
      <c r="B9" s="6">
        <v>5023</v>
      </c>
      <c r="C9" s="6" t="s">
        <v>27</v>
      </c>
      <c r="D9" s="6">
        <v>202608</v>
      </c>
      <c r="E9" s="10">
        <v>2.066523734477865E-2</v>
      </c>
      <c r="F9" s="11">
        <v>41256.887716763944</v>
      </c>
      <c r="G9" s="11">
        <f>DCTable3[[#This Row],[Ramp]]*DCTable3[[#This Row],[Baseline Hrs]]</f>
        <v>852.58337677380985</v>
      </c>
      <c r="H9" s="12">
        <f>DCTable3[[#This Row],[Hours Saved]]*25.23</f>
        <v>21510.678596003221</v>
      </c>
      <c r="I9" s="12">
        <f>DCTable3[[#This Row],[Dollar Impact]]*1.3273</f>
        <v>28551.123700475073</v>
      </c>
      <c r="J9" s="6" t="s">
        <v>19</v>
      </c>
      <c r="M9" t="s">
        <v>58</v>
      </c>
      <c r="N9" s="13">
        <f>N8-M3</f>
        <v>-5658887.2584220124</v>
      </c>
    </row>
    <row r="10" spans="1:17" x14ac:dyDescent="0.25">
      <c r="A10" s="6" t="s">
        <v>26</v>
      </c>
      <c r="B10" s="6">
        <v>5023</v>
      </c>
      <c r="C10" s="6" t="s">
        <v>27</v>
      </c>
      <c r="D10" s="6">
        <v>202609</v>
      </c>
      <c r="E10" s="10">
        <v>2.066523734477865E-2</v>
      </c>
      <c r="F10" s="11">
        <v>46927.431330221312</v>
      </c>
      <c r="G10" s="11">
        <f>DCTable3[[#This Row],[Ramp]]*DCTable3[[#This Row],[Baseline Hrs]]</f>
        <v>969.76650641982508</v>
      </c>
      <c r="H10" s="12">
        <f>DCTable3[[#This Row],[Hours Saved]]*25.23</f>
        <v>24467.208956972187</v>
      </c>
      <c r="I10" s="12">
        <f>DCTable3[[#This Row],[Dollar Impact]]*1.3273</f>
        <v>32475.326448589181</v>
      </c>
      <c r="J10" s="6" t="s">
        <v>19</v>
      </c>
      <c r="M10" s="5"/>
    </row>
    <row r="11" spans="1:17" x14ac:dyDescent="0.25">
      <c r="A11" s="6" t="s">
        <v>26</v>
      </c>
      <c r="B11" s="6">
        <v>5023</v>
      </c>
      <c r="C11" s="6" t="s">
        <v>27</v>
      </c>
      <c r="D11" s="6">
        <v>202610</v>
      </c>
      <c r="E11" s="10">
        <v>2.066523734477865E-2</v>
      </c>
      <c r="F11" s="11">
        <v>33473.6868527185</v>
      </c>
      <c r="G11" s="11">
        <f>DCTable3[[#This Row],[Ramp]]*DCTable3[[#This Row],[Baseline Hrs]]</f>
        <v>691.74168361622446</v>
      </c>
      <c r="H11" s="12">
        <f>DCTable3[[#This Row],[Hours Saved]]*25.23</f>
        <v>17452.642677637345</v>
      </c>
      <c r="I11" s="12">
        <f>DCTable3[[#This Row],[Dollar Impact]]*1.3273</f>
        <v>23164.892626028046</v>
      </c>
      <c r="J11" s="6" t="s">
        <v>19</v>
      </c>
    </row>
    <row r="12" spans="1:17" x14ac:dyDescent="0.25">
      <c r="A12" s="6" t="s">
        <v>26</v>
      </c>
      <c r="B12" s="6">
        <v>5023</v>
      </c>
      <c r="C12" s="6" t="s">
        <v>27</v>
      </c>
      <c r="D12" s="6">
        <v>202611</v>
      </c>
      <c r="E12" s="10">
        <v>2.066523734477865E-2</v>
      </c>
      <c r="F12" s="11">
        <v>35232.894097797041</v>
      </c>
      <c r="G12" s="11">
        <f>DCTable3[[#This Row],[Ramp]]*DCTable3[[#This Row],[Baseline Hrs]]</f>
        <v>728.09611887442668</v>
      </c>
      <c r="H12" s="12">
        <f>DCTable3[[#This Row],[Hours Saved]]*25.23</f>
        <v>18369.865079201787</v>
      </c>
      <c r="I12" s="12">
        <f>DCTable3[[#This Row],[Dollar Impact]]*1.3273</f>
        <v>24382.32191962453</v>
      </c>
      <c r="J12" s="6" t="s">
        <v>19</v>
      </c>
    </row>
    <row r="13" spans="1:17" x14ac:dyDescent="0.25">
      <c r="A13" s="6" t="s">
        <v>26</v>
      </c>
      <c r="B13" s="6">
        <v>5023</v>
      </c>
      <c r="C13" s="6" t="s">
        <v>27</v>
      </c>
      <c r="D13" s="6">
        <v>202612</v>
      </c>
      <c r="E13" s="10">
        <v>2.066523734477865E-2</v>
      </c>
      <c r="F13" s="11">
        <v>47614.483687653141</v>
      </c>
      <c r="G13" s="11">
        <f>DCTable3[[#This Row],[Ramp]]*DCTable3[[#This Row],[Baseline Hrs]]</f>
        <v>983.96460645444347</v>
      </c>
      <c r="H13" s="12">
        <f>DCTable3[[#This Row],[Hours Saved]]*25.23</f>
        <v>24825.427020845611</v>
      </c>
      <c r="I13" s="12">
        <f>DCTable3[[#This Row],[Dollar Impact]]*1.3273</f>
        <v>32950.789284768376</v>
      </c>
      <c r="J13" s="6" t="s">
        <v>19</v>
      </c>
    </row>
    <row r="14" spans="1:17" x14ac:dyDescent="0.25">
      <c r="A14" s="6" t="s">
        <v>28</v>
      </c>
      <c r="B14" s="6">
        <v>5024</v>
      </c>
      <c r="C14" s="6" t="s">
        <v>29</v>
      </c>
      <c r="D14" s="6">
        <v>202601</v>
      </c>
      <c r="E14" s="10">
        <v>1.9100435846624544E-2</v>
      </c>
      <c r="F14" s="11">
        <v>36837.285835505514</v>
      </c>
      <c r="G14" s="11">
        <f>DCTable3[[#This Row],[Ramp]]*DCTable3[[#This Row],[Baseline Hrs]]</f>
        <v>703.60821486484406</v>
      </c>
      <c r="H14" s="12">
        <f>DCTable3[[#This Row],[Hours Saved]]*25.23</f>
        <v>17752.035261040015</v>
      </c>
      <c r="I14" s="12">
        <f>DCTable3[[#This Row],[Dollar Impact]]*1.3273</f>
        <v>23562.276401978412</v>
      </c>
      <c r="J14" s="6" t="s">
        <v>19</v>
      </c>
      <c r="L14" s="16"/>
    </row>
    <row r="15" spans="1:17" x14ac:dyDescent="0.25">
      <c r="A15" s="6" t="s">
        <v>28</v>
      </c>
      <c r="B15" s="6">
        <v>5024</v>
      </c>
      <c r="C15" s="6" t="s">
        <v>29</v>
      </c>
      <c r="D15" s="6">
        <v>202602</v>
      </c>
      <c r="E15" s="10">
        <v>1.9100435846624544E-2</v>
      </c>
      <c r="F15" s="11">
        <v>37668.889630478225</v>
      </c>
      <c r="G15" s="11">
        <f>DCTable3[[#This Row],[Ramp]]*DCTable3[[#This Row],[Baseline Hrs]]</f>
        <v>719.49220980052985</v>
      </c>
      <c r="H15" s="12">
        <f>DCTable3[[#This Row],[Hours Saved]]*25.23</f>
        <v>18152.788453267367</v>
      </c>
      <c r="I15" s="12">
        <f>DCTable3[[#This Row],[Dollar Impact]]*1.3273</f>
        <v>24094.196114021775</v>
      </c>
      <c r="J15" s="6" t="s">
        <v>19</v>
      </c>
    </row>
    <row r="16" spans="1:17" x14ac:dyDescent="0.25">
      <c r="A16" s="6" t="s">
        <v>28</v>
      </c>
      <c r="B16" s="6">
        <v>5024</v>
      </c>
      <c r="C16" s="6" t="s">
        <v>29</v>
      </c>
      <c r="D16" s="6">
        <v>202603</v>
      </c>
      <c r="E16" s="10">
        <v>1.9100435846624544E-2</v>
      </c>
      <c r="F16" s="11">
        <v>48386.428686781393</v>
      </c>
      <c r="G16" s="11">
        <f>DCTable3[[#This Row],[Ramp]]*DCTable3[[#This Row],[Baseline Hrs]]</f>
        <v>924.2018769791415</v>
      </c>
      <c r="H16" s="12">
        <f>DCTable3[[#This Row],[Hours Saved]]*25.23</f>
        <v>23317.613356183741</v>
      </c>
      <c r="I16" s="12">
        <f>DCTable3[[#This Row],[Dollar Impact]]*1.3273</f>
        <v>30949.468207662678</v>
      </c>
      <c r="J16" s="6" t="s">
        <v>19</v>
      </c>
    </row>
    <row r="17" spans="1:10" x14ac:dyDescent="0.25">
      <c r="A17" s="6" t="s">
        <v>28</v>
      </c>
      <c r="B17" s="6">
        <v>5024</v>
      </c>
      <c r="C17" s="6" t="s">
        <v>29</v>
      </c>
      <c r="D17" s="6">
        <v>202604</v>
      </c>
      <c r="E17" s="10">
        <v>1.9100435846624544E-2</v>
      </c>
      <c r="F17" s="11">
        <v>35572.654375802194</v>
      </c>
      <c r="G17" s="11">
        <f>DCTable3[[#This Row],[Ramp]]*DCTable3[[#This Row],[Baseline Hrs]]</f>
        <v>679.45320279915768</v>
      </c>
      <c r="H17" s="12">
        <f>DCTable3[[#This Row],[Hours Saved]]*25.23</f>
        <v>17142.60430662275</v>
      </c>
      <c r="I17" s="12">
        <f>DCTable3[[#This Row],[Dollar Impact]]*1.3273</f>
        <v>22753.378696180374</v>
      </c>
      <c r="J17" s="6" t="s">
        <v>19</v>
      </c>
    </row>
    <row r="18" spans="1:10" x14ac:dyDescent="0.25">
      <c r="A18" s="6" t="s">
        <v>28</v>
      </c>
      <c r="B18" s="6">
        <v>5024</v>
      </c>
      <c r="C18" s="6" t="s">
        <v>29</v>
      </c>
      <c r="D18" s="6">
        <v>202605</v>
      </c>
      <c r="E18" s="10">
        <v>1.9100435846624544E-2</v>
      </c>
      <c r="F18" s="11">
        <v>33436.838185696441</v>
      </c>
      <c r="G18" s="11">
        <f>DCTable3[[#This Row],[Ramp]]*DCTable3[[#This Row],[Baseline Hrs]]</f>
        <v>638.65818267986072</v>
      </c>
      <c r="H18" s="12">
        <f>DCTable3[[#This Row],[Hours Saved]]*25.23</f>
        <v>16113.345949012886</v>
      </c>
      <c r="I18" s="12">
        <f>DCTable3[[#This Row],[Dollar Impact]]*1.3273</f>
        <v>21387.244078124804</v>
      </c>
      <c r="J18" s="6" t="s">
        <v>19</v>
      </c>
    </row>
    <row r="19" spans="1:10" x14ac:dyDescent="0.25">
      <c r="A19" s="6" t="s">
        <v>28</v>
      </c>
      <c r="B19" s="6">
        <v>5024</v>
      </c>
      <c r="C19" s="6" t="s">
        <v>29</v>
      </c>
      <c r="D19" s="6">
        <v>202606</v>
      </c>
      <c r="E19" s="10">
        <v>1.9100435846624544E-2</v>
      </c>
      <c r="F19" s="11">
        <v>40560.119507902738</v>
      </c>
      <c r="G19" s="11">
        <f>DCTable3[[#This Row],[Ramp]]*DCTable3[[#This Row],[Baseline Hrs]]</f>
        <v>774.71596059212095</v>
      </c>
      <c r="H19" s="12">
        <f>DCTable3[[#This Row],[Hours Saved]]*25.23</f>
        <v>19546.083685739213</v>
      </c>
      <c r="I19" s="12">
        <f>DCTable3[[#This Row],[Dollar Impact]]*1.3273</f>
        <v>25943.516876081656</v>
      </c>
      <c r="J19" s="6" t="s">
        <v>19</v>
      </c>
    </row>
    <row r="20" spans="1:10" x14ac:dyDescent="0.25">
      <c r="A20" s="6" t="s">
        <v>28</v>
      </c>
      <c r="B20" s="6">
        <v>5024</v>
      </c>
      <c r="C20" s="6" t="s">
        <v>29</v>
      </c>
      <c r="D20" s="6">
        <v>202607</v>
      </c>
      <c r="E20" s="10">
        <v>1.9100435846624544E-2</v>
      </c>
      <c r="F20" s="11">
        <v>31988.146714821345</v>
      </c>
      <c r="G20" s="11">
        <f>DCTable3[[#This Row],[Ramp]]*DCTable3[[#This Row],[Baseline Hrs]]</f>
        <v>610.9875441788588</v>
      </c>
      <c r="H20" s="12">
        <f>DCTable3[[#This Row],[Hours Saved]]*25.23</f>
        <v>15415.215739632607</v>
      </c>
      <c r="I20" s="12">
        <f>DCTable3[[#This Row],[Dollar Impact]]*1.3273</f>
        <v>20460.615851214359</v>
      </c>
      <c r="J20" s="6" t="s">
        <v>19</v>
      </c>
    </row>
    <row r="21" spans="1:10" x14ac:dyDescent="0.25">
      <c r="A21" s="6" t="s">
        <v>28</v>
      </c>
      <c r="B21" s="6">
        <v>5024</v>
      </c>
      <c r="C21" s="6" t="s">
        <v>29</v>
      </c>
      <c r="D21" s="6">
        <v>202608</v>
      </c>
      <c r="E21" s="10">
        <v>1.9100435846624544E-2</v>
      </c>
      <c r="F21" s="11">
        <v>31533.719902532517</v>
      </c>
      <c r="G21" s="11">
        <f>DCTable3[[#This Row],[Ramp]]*DCTable3[[#This Row],[Baseline Hrs]]</f>
        <v>602.3077940037499</v>
      </c>
      <c r="H21" s="12">
        <f>DCTable3[[#This Row],[Hours Saved]]*25.23</f>
        <v>15196.225642714611</v>
      </c>
      <c r="I21" s="12">
        <f>DCTable3[[#This Row],[Dollar Impact]]*1.3273</f>
        <v>20169.950295575101</v>
      </c>
      <c r="J21" s="6" t="s">
        <v>19</v>
      </c>
    </row>
    <row r="22" spans="1:10" x14ac:dyDescent="0.25">
      <c r="A22" s="6" t="s">
        <v>28</v>
      </c>
      <c r="B22" s="6">
        <v>5024</v>
      </c>
      <c r="C22" s="6" t="s">
        <v>29</v>
      </c>
      <c r="D22" s="6">
        <v>202609</v>
      </c>
      <c r="E22" s="10">
        <v>1.9100435846624544E-2</v>
      </c>
      <c r="F22" s="11">
        <v>35720.446107894073</v>
      </c>
      <c r="G22" s="11">
        <f>DCTable3[[#This Row],[Ramp]]*DCTable3[[#This Row],[Baseline Hrs]]</f>
        <v>682.27608929664007</v>
      </c>
      <c r="H22" s="12">
        <f>DCTable3[[#This Row],[Hours Saved]]*25.23</f>
        <v>17213.825732954228</v>
      </c>
      <c r="I22" s="12">
        <f>DCTable3[[#This Row],[Dollar Impact]]*1.3273</f>
        <v>22847.910895350145</v>
      </c>
      <c r="J22" s="6" t="s">
        <v>19</v>
      </c>
    </row>
    <row r="23" spans="1:10" x14ac:dyDescent="0.25">
      <c r="A23" s="6" t="s">
        <v>28</v>
      </c>
      <c r="B23" s="6">
        <v>5024</v>
      </c>
      <c r="C23" s="6" t="s">
        <v>29</v>
      </c>
      <c r="D23" s="6">
        <v>202610</v>
      </c>
      <c r="E23" s="10">
        <v>1.9100435846624544E-2</v>
      </c>
      <c r="F23" s="11">
        <v>26241.630670009152</v>
      </c>
      <c r="G23" s="11">
        <f>DCTable3[[#This Row],[Ramp]]*DCTable3[[#This Row],[Baseline Hrs]]</f>
        <v>501.22658312332487</v>
      </c>
      <c r="H23" s="12">
        <f>DCTable3[[#This Row],[Hours Saved]]*25.23</f>
        <v>12645.946692201487</v>
      </c>
      <c r="I23" s="12">
        <f>DCTable3[[#This Row],[Dollar Impact]]*1.3273</f>
        <v>16784.965044559034</v>
      </c>
      <c r="J23" s="6" t="s">
        <v>19</v>
      </c>
    </row>
    <row r="24" spans="1:10" x14ac:dyDescent="0.25">
      <c r="A24" s="6" t="s">
        <v>28</v>
      </c>
      <c r="B24" s="6">
        <v>5024</v>
      </c>
      <c r="C24" s="6" t="s">
        <v>29</v>
      </c>
      <c r="D24" s="6">
        <v>202611</v>
      </c>
      <c r="E24" s="10">
        <v>1.9100435846624544E-2</v>
      </c>
      <c r="F24" s="11">
        <v>28472.904222292324</v>
      </c>
      <c r="G24" s="11">
        <f>DCTable3[[#This Row],[Ramp]]*DCTable3[[#This Row],[Baseline Hrs]]</f>
        <v>543.84488046497961</v>
      </c>
      <c r="H24" s="12">
        <f>DCTable3[[#This Row],[Hours Saved]]*25.23</f>
        <v>13721.206334131435</v>
      </c>
      <c r="I24" s="12">
        <f>DCTable3[[#This Row],[Dollar Impact]]*1.3273</f>
        <v>18212.157167292651</v>
      </c>
      <c r="J24" s="6" t="s">
        <v>19</v>
      </c>
    </row>
    <row r="25" spans="1:10" x14ac:dyDescent="0.25">
      <c r="A25" s="6" t="s">
        <v>28</v>
      </c>
      <c r="B25" s="6">
        <v>5024</v>
      </c>
      <c r="C25" s="6" t="s">
        <v>29</v>
      </c>
      <c r="D25" s="6">
        <v>202612</v>
      </c>
      <c r="E25" s="10">
        <v>1.9100435846624544E-2</v>
      </c>
      <c r="F25" s="11">
        <v>37396.497914716907</v>
      </c>
      <c r="G25" s="11">
        <f>DCTable3[[#This Row],[Ramp]]*DCTable3[[#This Row],[Baseline Hrs]]</f>
        <v>714.28940930847875</v>
      </c>
      <c r="H25" s="12">
        <f>DCTable3[[#This Row],[Hours Saved]]*25.23</f>
        <v>18021.521796852918</v>
      </c>
      <c r="I25" s="12">
        <f>DCTable3[[#This Row],[Dollar Impact]]*1.3273</f>
        <v>23919.965880962878</v>
      </c>
      <c r="J25" s="6" t="s">
        <v>19</v>
      </c>
    </row>
    <row r="26" spans="1:10" x14ac:dyDescent="0.25">
      <c r="A26" s="6" t="s">
        <v>30</v>
      </c>
      <c r="B26" s="6">
        <v>5034</v>
      </c>
      <c r="C26" s="6" t="s">
        <v>31</v>
      </c>
      <c r="D26" s="6">
        <v>202601</v>
      </c>
      <c r="E26" s="10">
        <v>2.7912935806470623E-2</v>
      </c>
      <c r="F26" s="11">
        <v>42477.13045349504</v>
      </c>
      <c r="G26" s="11">
        <f>DCTable3[[#This Row],[Ramp]]*DCTable3[[#This Row],[Baseline Hrs]]</f>
        <v>1185.6614155914854</v>
      </c>
      <c r="H26" s="12">
        <f>DCTable3[[#This Row],[Hours Saved]]*25.23</f>
        <v>29914.237515373177</v>
      </c>
      <c r="I26" s="12">
        <f>DCTable3[[#This Row],[Dollar Impact]]*1.3273</f>
        <v>39705.167454154813</v>
      </c>
      <c r="J26" s="6" t="s">
        <v>19</v>
      </c>
    </row>
    <row r="27" spans="1:10" x14ac:dyDescent="0.25">
      <c r="A27" s="6" t="s">
        <v>30</v>
      </c>
      <c r="B27" s="6">
        <v>5034</v>
      </c>
      <c r="C27" s="6" t="s">
        <v>31</v>
      </c>
      <c r="D27" s="6">
        <v>202602</v>
      </c>
      <c r="E27" s="10">
        <v>2.7912935806470623E-2</v>
      </c>
      <c r="F27" s="11">
        <v>46284.052634519496</v>
      </c>
      <c r="G27" s="11">
        <f>DCTable3[[#This Row],[Ramp]]*DCTable3[[#This Row],[Baseline Hrs]]</f>
        <v>1291.9237900506503</v>
      </c>
      <c r="H27" s="12">
        <f>DCTable3[[#This Row],[Hours Saved]]*25.23</f>
        <v>32595.237222977907</v>
      </c>
      <c r="I27" s="12">
        <f>DCTable3[[#This Row],[Dollar Impact]]*1.3273</f>
        <v>43263.658366058575</v>
      </c>
      <c r="J27" s="6" t="s">
        <v>19</v>
      </c>
    </row>
    <row r="28" spans="1:10" x14ac:dyDescent="0.25">
      <c r="A28" s="6" t="s">
        <v>30</v>
      </c>
      <c r="B28" s="6">
        <v>5034</v>
      </c>
      <c r="C28" s="6" t="s">
        <v>31</v>
      </c>
      <c r="D28" s="6">
        <v>202603</v>
      </c>
      <c r="E28" s="10">
        <v>2.7912935806470623E-2</v>
      </c>
      <c r="F28" s="11">
        <v>59616.736348847444</v>
      </c>
      <c r="G28" s="11">
        <f>DCTable3[[#This Row],[Ramp]]*DCTable3[[#This Row],[Baseline Hrs]]</f>
        <v>1664.0781346966626</v>
      </c>
      <c r="H28" s="12">
        <f>DCTable3[[#This Row],[Hours Saved]]*25.23</f>
        <v>41984.691338396799</v>
      </c>
      <c r="I28" s="12">
        <f>DCTable3[[#This Row],[Dollar Impact]]*1.3273</f>
        <v>55726.280813454068</v>
      </c>
      <c r="J28" s="6" t="s">
        <v>19</v>
      </c>
    </row>
    <row r="29" spans="1:10" x14ac:dyDescent="0.25">
      <c r="A29" s="6" t="s">
        <v>30</v>
      </c>
      <c r="B29" s="6">
        <v>5034</v>
      </c>
      <c r="C29" s="6" t="s">
        <v>31</v>
      </c>
      <c r="D29" s="6">
        <v>202604</v>
      </c>
      <c r="E29" s="10">
        <v>2.7912935806470623E-2</v>
      </c>
      <c r="F29" s="11">
        <v>44418.366641755441</v>
      </c>
      <c r="G29" s="11">
        <f>DCTable3[[#This Row],[Ramp]]*DCTable3[[#This Row],[Baseline Hrs]]</f>
        <v>1239.8470166995958</v>
      </c>
      <c r="H29" s="12">
        <f>DCTable3[[#This Row],[Hours Saved]]*25.23</f>
        <v>31281.340231330803</v>
      </c>
      <c r="I29" s="12">
        <f>DCTable3[[#This Row],[Dollar Impact]]*1.3273</f>
        <v>41519.72288904537</v>
      </c>
      <c r="J29" s="6" t="s">
        <v>19</v>
      </c>
    </row>
    <row r="30" spans="1:10" x14ac:dyDescent="0.25">
      <c r="A30" s="6" t="s">
        <v>30</v>
      </c>
      <c r="B30" s="6">
        <v>5034</v>
      </c>
      <c r="C30" s="6" t="s">
        <v>31</v>
      </c>
      <c r="D30" s="6">
        <v>202605</v>
      </c>
      <c r="E30" s="10">
        <v>2.7912935806470623E-2</v>
      </c>
      <c r="F30" s="11">
        <v>43755.099183599537</v>
      </c>
      <c r="G30" s="11">
        <f>DCTable3[[#This Row],[Ramp]]*DCTable3[[#This Row],[Baseline Hrs]]</f>
        <v>1221.3332747175691</v>
      </c>
      <c r="H30" s="12">
        <f>DCTable3[[#This Row],[Hours Saved]]*25.23</f>
        <v>30814.238521124269</v>
      </c>
      <c r="I30" s="12">
        <f>DCTable3[[#This Row],[Dollar Impact]]*1.3273</f>
        <v>40899.738789088238</v>
      </c>
      <c r="J30" s="6" t="s">
        <v>19</v>
      </c>
    </row>
    <row r="31" spans="1:10" x14ac:dyDescent="0.25">
      <c r="A31" s="6" t="s">
        <v>30</v>
      </c>
      <c r="B31" s="6">
        <v>5034</v>
      </c>
      <c r="C31" s="6" t="s">
        <v>31</v>
      </c>
      <c r="D31" s="6">
        <v>202606</v>
      </c>
      <c r="E31" s="10">
        <v>2.7912935806470623E-2</v>
      </c>
      <c r="F31" s="11">
        <v>53496.206275709505</v>
      </c>
      <c r="G31" s="11">
        <f>DCTable3[[#This Row],[Ramp]]*DCTable3[[#This Row],[Baseline Hrs]]</f>
        <v>1493.2361716635903</v>
      </c>
      <c r="H31" s="12">
        <f>DCTable3[[#This Row],[Hours Saved]]*25.23</f>
        <v>37674.348611072382</v>
      </c>
      <c r="I31" s="12">
        <f>DCTable3[[#This Row],[Dollar Impact]]*1.3273</f>
        <v>50005.162911476371</v>
      </c>
      <c r="J31" s="6" t="s">
        <v>19</v>
      </c>
    </row>
    <row r="32" spans="1:10" x14ac:dyDescent="0.25">
      <c r="A32" s="6" t="s">
        <v>30</v>
      </c>
      <c r="B32" s="6">
        <v>5034</v>
      </c>
      <c r="C32" s="6" t="s">
        <v>31</v>
      </c>
      <c r="D32" s="6">
        <v>202607</v>
      </c>
      <c r="E32" s="10">
        <v>2.7912935806470623E-2</v>
      </c>
      <c r="F32" s="11">
        <v>43205.462088498447</v>
      </c>
      <c r="G32" s="11">
        <f>DCTable3[[#This Row],[Ramp]]*DCTable3[[#This Row],[Baseline Hrs]]</f>
        <v>1205.9912897651573</v>
      </c>
      <c r="H32" s="12">
        <f>DCTable3[[#This Row],[Hours Saved]]*25.23</f>
        <v>30427.16024077492</v>
      </c>
      <c r="I32" s="12">
        <f>DCTable3[[#This Row],[Dollar Impact]]*1.3273</f>
        <v>40385.96978758055</v>
      </c>
      <c r="J32" s="6" t="s">
        <v>19</v>
      </c>
    </row>
    <row r="33" spans="1:10" x14ac:dyDescent="0.25">
      <c r="A33" s="6" t="s">
        <v>30</v>
      </c>
      <c r="B33" s="6">
        <v>5034</v>
      </c>
      <c r="C33" s="6" t="s">
        <v>31</v>
      </c>
      <c r="D33" s="6">
        <v>202608</v>
      </c>
      <c r="E33" s="10">
        <v>2.7912935806470623E-2</v>
      </c>
      <c r="F33" s="11">
        <v>43831.859232834198</v>
      </c>
      <c r="G33" s="11">
        <f>DCTable3[[#This Row],[Ramp]]*DCTable3[[#This Row],[Baseline Hrs]]</f>
        <v>1223.4758730443577</v>
      </c>
      <c r="H33" s="12">
        <f>DCTable3[[#This Row],[Hours Saved]]*25.23</f>
        <v>30868.296276909146</v>
      </c>
      <c r="I33" s="12">
        <f>DCTable3[[#This Row],[Dollar Impact]]*1.3273</f>
        <v>40971.489648341507</v>
      </c>
      <c r="J33" s="6" t="s">
        <v>19</v>
      </c>
    </row>
    <row r="34" spans="1:10" x14ac:dyDescent="0.25">
      <c r="A34" s="6" t="s">
        <v>30</v>
      </c>
      <c r="B34" s="6">
        <v>5034</v>
      </c>
      <c r="C34" s="6" t="s">
        <v>31</v>
      </c>
      <c r="D34" s="6">
        <v>202609</v>
      </c>
      <c r="E34" s="10">
        <v>2.7912935806470623E-2</v>
      </c>
      <c r="F34" s="11">
        <v>56379.073998873224</v>
      </c>
      <c r="G34" s="11">
        <f>DCTable3[[#This Row],[Ramp]]*DCTable3[[#This Row],[Baseline Hrs]]</f>
        <v>1573.7054733588052</v>
      </c>
      <c r="H34" s="12">
        <f>DCTable3[[#This Row],[Hours Saved]]*25.23</f>
        <v>39704.589092842652</v>
      </c>
      <c r="I34" s="12">
        <f>DCTable3[[#This Row],[Dollar Impact]]*1.3273</f>
        <v>52699.901102930053</v>
      </c>
      <c r="J34" s="6" t="s">
        <v>19</v>
      </c>
    </row>
    <row r="35" spans="1:10" x14ac:dyDescent="0.25">
      <c r="A35" s="6" t="s">
        <v>30</v>
      </c>
      <c r="B35" s="6">
        <v>5034</v>
      </c>
      <c r="C35" s="6" t="s">
        <v>31</v>
      </c>
      <c r="D35" s="6">
        <v>202610</v>
      </c>
      <c r="E35" s="10">
        <v>2.7912935806470623E-2</v>
      </c>
      <c r="F35" s="11">
        <v>36801.178010932177</v>
      </c>
      <c r="G35" s="11">
        <f>DCTable3[[#This Row],[Ramp]]*DCTable3[[#This Row],[Baseline Hrs]]</f>
        <v>1027.228919421648</v>
      </c>
      <c r="H35" s="12">
        <f>DCTable3[[#This Row],[Hours Saved]]*25.23</f>
        <v>25916.98563700818</v>
      </c>
      <c r="I35" s="12">
        <f>DCTable3[[#This Row],[Dollar Impact]]*1.3273</f>
        <v>34399.615036000956</v>
      </c>
      <c r="J35" s="6" t="s">
        <v>19</v>
      </c>
    </row>
    <row r="36" spans="1:10" x14ac:dyDescent="0.25">
      <c r="A36" s="6" t="s">
        <v>30</v>
      </c>
      <c r="B36" s="6">
        <v>5034</v>
      </c>
      <c r="C36" s="6" t="s">
        <v>31</v>
      </c>
      <c r="D36" s="6">
        <v>202611</v>
      </c>
      <c r="E36" s="10">
        <v>2.7912935806470623E-2</v>
      </c>
      <c r="F36" s="11">
        <v>38274.961123501613</v>
      </c>
      <c r="G36" s="11">
        <f>DCTable3[[#This Row],[Ramp]]*DCTable3[[#This Row],[Baseline Hrs]]</f>
        <v>1068.3665328354591</v>
      </c>
      <c r="H36" s="12">
        <f>DCTable3[[#This Row],[Hours Saved]]*25.23</f>
        <v>26954.887623438633</v>
      </c>
      <c r="I36" s="12">
        <f>DCTable3[[#This Row],[Dollar Impact]]*1.3273</f>
        <v>35777.222342590096</v>
      </c>
      <c r="J36" s="6" t="s">
        <v>19</v>
      </c>
    </row>
    <row r="37" spans="1:10" x14ac:dyDescent="0.25">
      <c r="A37" s="6" t="s">
        <v>30</v>
      </c>
      <c r="B37" s="6">
        <v>5034</v>
      </c>
      <c r="C37" s="6" t="s">
        <v>31</v>
      </c>
      <c r="D37" s="6">
        <v>202612</v>
      </c>
      <c r="E37" s="10">
        <v>2.7912935806470623E-2</v>
      </c>
      <c r="F37" s="11">
        <v>52822.052588256702</v>
      </c>
      <c r="G37" s="11">
        <f>DCTable3[[#This Row],[Ramp]]*DCTable3[[#This Row],[Baseline Hrs]]</f>
        <v>1474.4185630620248</v>
      </c>
      <c r="H37" s="12">
        <f>DCTable3[[#This Row],[Hours Saved]]*25.23</f>
        <v>37199.580346054885</v>
      </c>
      <c r="I37" s="12">
        <f>DCTable3[[#This Row],[Dollar Impact]]*1.3273</f>
        <v>49375.002993318645</v>
      </c>
      <c r="J37" s="6" t="s">
        <v>19</v>
      </c>
    </row>
    <row r="38" spans="1:10" x14ac:dyDescent="0.25">
      <c r="A38" s="6" t="s">
        <v>30</v>
      </c>
      <c r="B38" s="6">
        <v>5084</v>
      </c>
      <c r="C38" s="6" t="s">
        <v>32</v>
      </c>
      <c r="D38" s="6">
        <v>202601</v>
      </c>
      <c r="E38" s="10">
        <v>1.7267022538222054E-2</v>
      </c>
      <c r="F38" s="11">
        <v>39987.649170718316</v>
      </c>
      <c r="G38" s="11">
        <f>DCTable3[[#This Row],[Ramp]]*DCTable3[[#This Row],[Baseline Hrs]]</f>
        <v>690.46763948130956</v>
      </c>
      <c r="H38" s="12">
        <f>DCTable3[[#This Row],[Hours Saved]]*25.23</f>
        <v>17420.498544113441</v>
      </c>
      <c r="I38" s="12">
        <f>DCTable3[[#This Row],[Dollar Impact]]*1.3273</f>
        <v>23122.227717601771</v>
      </c>
      <c r="J38" s="6" t="s">
        <v>19</v>
      </c>
    </row>
    <row r="39" spans="1:10" x14ac:dyDescent="0.25">
      <c r="A39" s="6" t="s">
        <v>30</v>
      </c>
      <c r="B39" s="6">
        <v>5084</v>
      </c>
      <c r="C39" s="6" t="s">
        <v>32</v>
      </c>
      <c r="D39" s="6">
        <v>202602</v>
      </c>
      <c r="E39" s="10">
        <v>1.7267022538222054E-2</v>
      </c>
      <c r="F39" s="11">
        <v>42740.737018448599</v>
      </c>
      <c r="G39" s="11">
        <f>DCTable3[[#This Row],[Ramp]]*DCTable3[[#This Row],[Baseline Hrs]]</f>
        <v>738.00526939777365</v>
      </c>
      <c r="H39" s="12">
        <f>DCTable3[[#This Row],[Hours Saved]]*25.23</f>
        <v>18619.872946905831</v>
      </c>
      <c r="I39" s="12">
        <f>DCTable3[[#This Row],[Dollar Impact]]*1.3273</f>
        <v>24714.157362428108</v>
      </c>
      <c r="J39" s="6" t="s">
        <v>19</v>
      </c>
    </row>
    <row r="40" spans="1:10" x14ac:dyDescent="0.25">
      <c r="A40" s="6" t="s">
        <v>30</v>
      </c>
      <c r="B40" s="6">
        <v>5084</v>
      </c>
      <c r="C40" s="6" t="s">
        <v>32</v>
      </c>
      <c r="D40" s="6">
        <v>202603</v>
      </c>
      <c r="E40" s="10">
        <v>1.7267022538222054E-2</v>
      </c>
      <c r="F40" s="11">
        <v>51782.964865160015</v>
      </c>
      <c r="G40" s="11">
        <f>DCTable3[[#This Row],[Ramp]]*DCTable3[[#This Row],[Baseline Hrs]]</f>
        <v>894.13762142267865</v>
      </c>
      <c r="H40" s="12">
        <f>DCTable3[[#This Row],[Hours Saved]]*25.23</f>
        <v>22559.092188494182</v>
      </c>
      <c r="I40" s="12">
        <f>DCTable3[[#This Row],[Dollar Impact]]*1.3273</f>
        <v>29942.683061788324</v>
      </c>
      <c r="J40" s="6" t="s">
        <v>19</v>
      </c>
    </row>
    <row r="41" spans="1:10" x14ac:dyDescent="0.25">
      <c r="A41" s="6" t="s">
        <v>30</v>
      </c>
      <c r="B41" s="6">
        <v>5084</v>
      </c>
      <c r="C41" s="6" t="s">
        <v>32</v>
      </c>
      <c r="D41" s="6">
        <v>202604</v>
      </c>
      <c r="E41" s="10">
        <v>1.7267022538222054E-2</v>
      </c>
      <c r="F41" s="11">
        <v>38743.910870192252</v>
      </c>
      <c r="G41" s="11">
        <f>DCTable3[[#This Row],[Ramp]]*DCTable3[[#This Row],[Baseline Hrs]]</f>
        <v>668.99198221447602</v>
      </c>
      <c r="H41" s="12">
        <f>DCTable3[[#This Row],[Hours Saved]]*25.23</f>
        <v>16878.667711271231</v>
      </c>
      <c r="I41" s="12">
        <f>DCTable3[[#This Row],[Dollar Impact]]*1.3273</f>
        <v>22403.055653170304</v>
      </c>
      <c r="J41" s="6" t="s">
        <v>19</v>
      </c>
    </row>
    <row r="42" spans="1:10" x14ac:dyDescent="0.25">
      <c r="A42" s="6" t="s">
        <v>30</v>
      </c>
      <c r="B42" s="6">
        <v>5084</v>
      </c>
      <c r="C42" s="6" t="s">
        <v>32</v>
      </c>
      <c r="D42" s="6">
        <v>202605</v>
      </c>
      <c r="E42" s="10">
        <v>1.7267022538222054E-2</v>
      </c>
      <c r="F42" s="11">
        <v>39214.174671445151</v>
      </c>
      <c r="G42" s="11">
        <f>DCTable3[[#This Row],[Ramp]]*DCTable3[[#This Row],[Baseline Hrs]]</f>
        <v>677.11203786961983</v>
      </c>
      <c r="H42" s="12">
        <f>DCTable3[[#This Row],[Hours Saved]]*25.23</f>
        <v>17083.536715450507</v>
      </c>
      <c r="I42" s="12">
        <f>DCTable3[[#This Row],[Dollar Impact]]*1.3273</f>
        <v>22674.978282417458</v>
      </c>
      <c r="J42" s="6" t="s">
        <v>19</v>
      </c>
    </row>
    <row r="43" spans="1:10" x14ac:dyDescent="0.25">
      <c r="A43" s="6" t="s">
        <v>30</v>
      </c>
      <c r="B43" s="6">
        <v>5084</v>
      </c>
      <c r="C43" s="6" t="s">
        <v>32</v>
      </c>
      <c r="D43" s="6">
        <v>202606</v>
      </c>
      <c r="E43" s="10">
        <v>1.7267022538222054E-2</v>
      </c>
      <c r="F43" s="11">
        <v>48336.988181948029</v>
      </c>
      <c r="G43" s="11">
        <f>DCTable3[[#This Row],[Ramp]]*DCTable3[[#This Row],[Baseline Hrs]]</f>
        <v>834.63586436746971</v>
      </c>
      <c r="H43" s="12">
        <f>DCTable3[[#This Row],[Hours Saved]]*25.23</f>
        <v>21057.862857991262</v>
      </c>
      <c r="I43" s="12">
        <f>DCTable3[[#This Row],[Dollar Impact]]*1.3273</f>
        <v>27950.101371411802</v>
      </c>
      <c r="J43" s="6" t="s">
        <v>19</v>
      </c>
    </row>
    <row r="44" spans="1:10" x14ac:dyDescent="0.25">
      <c r="A44" s="6" t="s">
        <v>30</v>
      </c>
      <c r="B44" s="6">
        <v>5084</v>
      </c>
      <c r="C44" s="6" t="s">
        <v>32</v>
      </c>
      <c r="D44" s="6">
        <v>202607</v>
      </c>
      <c r="E44" s="10">
        <v>1.7267022538222054E-2</v>
      </c>
      <c r="F44" s="11">
        <v>41144.816206316507</v>
      </c>
      <c r="G44" s="11">
        <f>DCTable3[[#This Row],[Ramp]]*DCTable3[[#This Row],[Baseline Hrs]]</f>
        <v>710.44846876547115</v>
      </c>
      <c r="H44" s="12">
        <f>DCTable3[[#This Row],[Hours Saved]]*25.23</f>
        <v>17924.614866952837</v>
      </c>
      <c r="I44" s="12">
        <f>DCTable3[[#This Row],[Dollar Impact]]*1.3273</f>
        <v>23791.341312906501</v>
      </c>
      <c r="J44" s="6" t="s">
        <v>19</v>
      </c>
    </row>
    <row r="45" spans="1:10" x14ac:dyDescent="0.25">
      <c r="A45" s="6" t="s">
        <v>30</v>
      </c>
      <c r="B45" s="6">
        <v>5084</v>
      </c>
      <c r="C45" s="6" t="s">
        <v>32</v>
      </c>
      <c r="D45" s="6">
        <v>202608</v>
      </c>
      <c r="E45" s="10">
        <v>1.7267022538222054E-2</v>
      </c>
      <c r="F45" s="11">
        <v>41571.921638683969</v>
      </c>
      <c r="G45" s="11">
        <f>DCTable3[[#This Row],[Ramp]]*DCTable3[[#This Row],[Baseline Hrs]]</f>
        <v>717.82330789235721</v>
      </c>
      <c r="H45" s="12">
        <f>DCTable3[[#This Row],[Hours Saved]]*25.23</f>
        <v>18110.682058124174</v>
      </c>
      <c r="I45" s="12">
        <f>DCTable3[[#This Row],[Dollar Impact]]*1.3273</f>
        <v>24038.308295748215</v>
      </c>
      <c r="J45" s="6" t="s">
        <v>19</v>
      </c>
    </row>
    <row r="46" spans="1:10" x14ac:dyDescent="0.25">
      <c r="A46" s="6" t="s">
        <v>30</v>
      </c>
      <c r="B46" s="6">
        <v>5084</v>
      </c>
      <c r="C46" s="6" t="s">
        <v>32</v>
      </c>
      <c r="D46" s="6">
        <v>202609</v>
      </c>
      <c r="E46" s="10">
        <v>1.7267022538222054E-2</v>
      </c>
      <c r="F46" s="11">
        <v>45423.63256453503</v>
      </c>
      <c r="G46" s="11">
        <f>DCTable3[[#This Row],[Ramp]]*DCTable3[[#This Row],[Baseline Hrs]]</f>
        <v>784.33088725974358</v>
      </c>
      <c r="H46" s="12">
        <f>DCTable3[[#This Row],[Hours Saved]]*25.23</f>
        <v>19788.66828556333</v>
      </c>
      <c r="I46" s="12">
        <f>DCTable3[[#This Row],[Dollar Impact]]*1.3273</f>
        <v>26265.499415428207</v>
      </c>
      <c r="J46" s="6" t="s">
        <v>19</v>
      </c>
    </row>
    <row r="47" spans="1:10" x14ac:dyDescent="0.25">
      <c r="A47" s="6" t="s">
        <v>30</v>
      </c>
      <c r="B47" s="6">
        <v>5084</v>
      </c>
      <c r="C47" s="6" t="s">
        <v>32</v>
      </c>
      <c r="D47" s="6">
        <v>202610</v>
      </c>
      <c r="E47" s="10">
        <v>1.7267022538222054E-2</v>
      </c>
      <c r="F47" s="11">
        <v>32720.365583337363</v>
      </c>
      <c r="G47" s="11">
        <f>DCTable3[[#This Row],[Ramp]]*DCTable3[[#This Row],[Baseline Hrs]]</f>
        <v>564.98328998635145</v>
      </c>
      <c r="H47" s="12">
        <f>DCTable3[[#This Row],[Hours Saved]]*25.23</f>
        <v>14254.528406355648</v>
      </c>
      <c r="I47" s="12">
        <f>DCTable3[[#This Row],[Dollar Impact]]*1.3273</f>
        <v>18920.03555375585</v>
      </c>
      <c r="J47" s="6" t="s">
        <v>19</v>
      </c>
    </row>
    <row r="48" spans="1:10" x14ac:dyDescent="0.25">
      <c r="A48" s="6" t="s">
        <v>30</v>
      </c>
      <c r="B48" s="6">
        <v>5084</v>
      </c>
      <c r="C48" s="6" t="s">
        <v>32</v>
      </c>
      <c r="D48" s="6">
        <v>202611</v>
      </c>
      <c r="E48" s="10">
        <v>1.7267022538222054E-2</v>
      </c>
      <c r="F48" s="11">
        <v>32689.150077911727</v>
      </c>
      <c r="G48" s="11">
        <f>DCTable3[[#This Row],[Ramp]]*DCTable3[[#This Row],[Baseline Hrs]]</f>
        <v>564.44429115062496</v>
      </c>
      <c r="H48" s="12">
        <f>DCTable3[[#This Row],[Hours Saved]]*25.23</f>
        <v>14240.929465730269</v>
      </c>
      <c r="I48" s="12">
        <f>DCTable3[[#This Row],[Dollar Impact]]*1.3273</f>
        <v>18901.985679863785</v>
      </c>
      <c r="J48" s="6" t="s">
        <v>19</v>
      </c>
    </row>
    <row r="49" spans="1:10" x14ac:dyDescent="0.25">
      <c r="A49" s="6" t="s">
        <v>30</v>
      </c>
      <c r="B49" s="6">
        <v>5084</v>
      </c>
      <c r="C49" s="6" t="s">
        <v>32</v>
      </c>
      <c r="D49" s="6">
        <v>202612</v>
      </c>
      <c r="E49" s="10">
        <v>1.7267022538222054E-2</v>
      </c>
      <c r="F49" s="11">
        <v>45142.522938226284</v>
      </c>
      <c r="G49" s="11">
        <f>DCTable3[[#This Row],[Ramp]]*DCTable3[[#This Row],[Baseline Hrs]]</f>
        <v>779.47696100655924</v>
      </c>
      <c r="H49" s="12">
        <f>DCTable3[[#This Row],[Hours Saved]]*25.23</f>
        <v>19666.20372619549</v>
      </c>
      <c r="I49" s="12">
        <f>DCTable3[[#This Row],[Dollar Impact]]*1.3273</f>
        <v>26102.952205779271</v>
      </c>
      <c r="J49" s="6" t="s">
        <v>19</v>
      </c>
    </row>
    <row r="50" spans="1:10" x14ac:dyDescent="0.25">
      <c r="A50" s="6" t="s">
        <v>26</v>
      </c>
      <c r="B50" s="6">
        <v>5085</v>
      </c>
      <c r="C50" s="6" t="s">
        <v>33</v>
      </c>
      <c r="D50" s="6">
        <v>202601</v>
      </c>
      <c r="E50" s="10">
        <v>1.767194338358799E-2</v>
      </c>
      <c r="F50" s="11">
        <v>51242.325292172944</v>
      </c>
      <c r="G50" s="11">
        <f>DCTable3[[#This Row],[Ramp]]*DCTable3[[#This Row],[Baseline Hrs]]</f>
        <v>905.55147140667918</v>
      </c>
      <c r="H50" s="12">
        <f>DCTable3[[#This Row],[Hours Saved]]*25.23</f>
        <v>22847.063623590515</v>
      </c>
      <c r="I50" s="12">
        <f>DCTable3[[#This Row],[Dollar Impact]]*1.3273</f>
        <v>30324.907547591687</v>
      </c>
      <c r="J50" s="6" t="s">
        <v>19</v>
      </c>
    </row>
    <row r="51" spans="1:10" x14ac:dyDescent="0.25">
      <c r="A51" s="6" t="s">
        <v>26</v>
      </c>
      <c r="B51" s="6">
        <v>5085</v>
      </c>
      <c r="C51" s="6" t="s">
        <v>33</v>
      </c>
      <c r="D51" s="6">
        <v>202602</v>
      </c>
      <c r="E51" s="10">
        <v>1.767194338358799E-2</v>
      </c>
      <c r="F51" s="11">
        <v>50165.504723758917</v>
      </c>
      <c r="G51" s="11">
        <f>DCTable3[[#This Row],[Ramp]]*DCTable3[[#This Row],[Baseline Hrs]]</f>
        <v>886.52195928738342</v>
      </c>
      <c r="H51" s="12">
        <f>DCTable3[[#This Row],[Hours Saved]]*25.23</f>
        <v>22366.949032820685</v>
      </c>
      <c r="I51" s="12">
        <f>DCTable3[[#This Row],[Dollar Impact]]*1.3273</f>
        <v>29687.651451262893</v>
      </c>
      <c r="J51" s="6" t="s">
        <v>19</v>
      </c>
    </row>
    <row r="52" spans="1:10" x14ac:dyDescent="0.25">
      <c r="A52" s="6" t="s">
        <v>26</v>
      </c>
      <c r="B52" s="6">
        <v>5085</v>
      </c>
      <c r="C52" s="6" t="s">
        <v>33</v>
      </c>
      <c r="D52" s="6">
        <v>202603</v>
      </c>
      <c r="E52" s="10">
        <v>1.767194338358799E-2</v>
      </c>
      <c r="F52" s="11">
        <v>63620.14854448448</v>
      </c>
      <c r="G52" s="11">
        <f>DCTable3[[#This Row],[Ramp]]*DCTable3[[#This Row],[Baseline Hrs]]</f>
        <v>1124.2916631335877</v>
      </c>
      <c r="H52" s="12">
        <f>DCTable3[[#This Row],[Hours Saved]]*25.23</f>
        <v>28365.878660860417</v>
      </c>
      <c r="I52" s="12">
        <f>DCTable3[[#This Row],[Dollar Impact]]*1.3273</f>
        <v>37650.030746560027</v>
      </c>
      <c r="J52" s="6" t="s">
        <v>19</v>
      </c>
    </row>
    <row r="53" spans="1:10" x14ac:dyDescent="0.25">
      <c r="A53" s="6" t="s">
        <v>26</v>
      </c>
      <c r="B53" s="6">
        <v>5085</v>
      </c>
      <c r="C53" s="6" t="s">
        <v>33</v>
      </c>
      <c r="D53" s="6">
        <v>202604</v>
      </c>
      <c r="E53" s="10">
        <v>1.767194338358799E-2</v>
      </c>
      <c r="F53" s="11">
        <v>45450.955791056484</v>
      </c>
      <c r="G53" s="11">
        <f>DCTable3[[#This Row],[Ramp]]*DCTable3[[#This Row],[Baseline Hrs]]</f>
        <v>803.20671746951086</v>
      </c>
      <c r="H53" s="12">
        <f>DCTable3[[#This Row],[Hours Saved]]*25.23</f>
        <v>20264.905481755759</v>
      </c>
      <c r="I53" s="12">
        <f>DCTable3[[#This Row],[Dollar Impact]]*1.3273</f>
        <v>26897.609045934416</v>
      </c>
      <c r="J53" s="6" t="s">
        <v>19</v>
      </c>
    </row>
    <row r="54" spans="1:10" x14ac:dyDescent="0.25">
      <c r="A54" s="6" t="s">
        <v>26</v>
      </c>
      <c r="B54" s="6">
        <v>5085</v>
      </c>
      <c r="C54" s="6" t="s">
        <v>33</v>
      </c>
      <c r="D54" s="6">
        <v>202605</v>
      </c>
      <c r="E54" s="10">
        <v>1.767194338358799E-2</v>
      </c>
      <c r="F54" s="11">
        <v>43325.668050867404</v>
      </c>
      <c r="G54" s="11">
        <f>DCTable3[[#This Row],[Ramp]]*DCTable3[[#This Row],[Baseline Hrs]]</f>
        <v>765.64875285105575</v>
      </c>
      <c r="H54" s="12">
        <f>DCTable3[[#This Row],[Hours Saved]]*25.23</f>
        <v>19317.318034432137</v>
      </c>
      <c r="I54" s="12">
        <f>DCTable3[[#This Row],[Dollar Impact]]*1.3273</f>
        <v>25639.876227101773</v>
      </c>
      <c r="J54" s="6" t="s">
        <v>19</v>
      </c>
    </row>
    <row r="55" spans="1:10" x14ac:dyDescent="0.25">
      <c r="A55" s="6" t="s">
        <v>26</v>
      </c>
      <c r="B55" s="6">
        <v>5085</v>
      </c>
      <c r="C55" s="6" t="s">
        <v>33</v>
      </c>
      <c r="D55" s="6">
        <v>202606</v>
      </c>
      <c r="E55" s="10">
        <v>1.767194338358799E-2</v>
      </c>
      <c r="F55" s="11">
        <v>57920.720217056762</v>
      </c>
      <c r="G55" s="11">
        <f>DCTable3[[#This Row],[Ramp]]*DCTable3[[#This Row],[Baseline Hrs]]</f>
        <v>1023.5716884124673</v>
      </c>
      <c r="H55" s="12">
        <f>DCTable3[[#This Row],[Hours Saved]]*25.23</f>
        <v>25824.713698646552</v>
      </c>
      <c r="I55" s="12">
        <f>DCTable3[[#This Row],[Dollar Impact]]*1.3273</f>
        <v>34277.14249221357</v>
      </c>
      <c r="J55" s="6" t="s">
        <v>19</v>
      </c>
    </row>
    <row r="56" spans="1:10" x14ac:dyDescent="0.25">
      <c r="A56" s="6" t="s">
        <v>26</v>
      </c>
      <c r="B56" s="6">
        <v>5085</v>
      </c>
      <c r="C56" s="6" t="s">
        <v>33</v>
      </c>
      <c r="D56" s="6">
        <v>202607</v>
      </c>
      <c r="E56" s="10">
        <v>1.767194338358799E-2</v>
      </c>
      <c r="F56" s="11">
        <v>46592.357768522488</v>
      </c>
      <c r="G56" s="11">
        <f>DCTable3[[#This Row],[Ramp]]*DCTable3[[#This Row],[Baseline Hrs]]</f>
        <v>823.37750859320545</v>
      </c>
      <c r="H56" s="12">
        <f>DCTable3[[#This Row],[Hours Saved]]*25.23</f>
        <v>20773.814541806572</v>
      </c>
      <c r="I56" s="12">
        <f>DCTable3[[#This Row],[Dollar Impact]]*1.3273</f>
        <v>27573.084041339862</v>
      </c>
      <c r="J56" s="6" t="s">
        <v>19</v>
      </c>
    </row>
    <row r="57" spans="1:10" x14ac:dyDescent="0.25">
      <c r="A57" s="6" t="s">
        <v>26</v>
      </c>
      <c r="B57" s="6">
        <v>5085</v>
      </c>
      <c r="C57" s="6" t="s">
        <v>33</v>
      </c>
      <c r="D57" s="6">
        <v>202608</v>
      </c>
      <c r="E57" s="10">
        <v>1.767194338358799E-2</v>
      </c>
      <c r="F57" s="11">
        <v>47482.844260863276</v>
      </c>
      <c r="G57" s="11">
        <f>DCTable3[[#This Row],[Ramp]]*DCTable3[[#This Row],[Baseline Hrs]]</f>
        <v>839.11413546970175</v>
      </c>
      <c r="H57" s="12">
        <f>DCTable3[[#This Row],[Hours Saved]]*25.23</f>
        <v>21170.849637900574</v>
      </c>
      <c r="I57" s="12">
        <f>DCTable3[[#This Row],[Dollar Impact]]*1.3273</f>
        <v>28100.06872438543</v>
      </c>
      <c r="J57" s="6" t="s">
        <v>19</v>
      </c>
    </row>
    <row r="58" spans="1:10" x14ac:dyDescent="0.25">
      <c r="A58" s="6" t="s">
        <v>26</v>
      </c>
      <c r="B58" s="6">
        <v>5085</v>
      </c>
      <c r="C58" s="6" t="s">
        <v>33</v>
      </c>
      <c r="D58" s="6">
        <v>202609</v>
      </c>
      <c r="E58" s="10">
        <v>1.767194338358799E-2</v>
      </c>
      <c r="F58" s="11">
        <v>56070.08305405869</v>
      </c>
      <c r="G58" s="11">
        <f>DCTable3[[#This Row],[Ramp]]*DCTable3[[#This Row],[Baseline Hrs]]</f>
        <v>990.86733324440161</v>
      </c>
      <c r="H58" s="12">
        <f>DCTable3[[#This Row],[Hours Saved]]*25.23</f>
        <v>24999.582817756254</v>
      </c>
      <c r="I58" s="12">
        <f>DCTable3[[#This Row],[Dollar Impact]]*1.3273</f>
        <v>33181.946274007874</v>
      </c>
      <c r="J58" s="6" t="s">
        <v>19</v>
      </c>
    </row>
    <row r="59" spans="1:10" x14ac:dyDescent="0.25">
      <c r="A59" s="6" t="s">
        <v>26</v>
      </c>
      <c r="B59" s="6">
        <v>5085</v>
      </c>
      <c r="C59" s="6" t="s">
        <v>33</v>
      </c>
      <c r="D59" s="6">
        <v>202610</v>
      </c>
      <c r="E59" s="10">
        <v>1.767194338358799E-2</v>
      </c>
      <c r="F59" s="11">
        <v>40802.661902154163</v>
      </c>
      <c r="G59" s="11">
        <f>DCTable3[[#This Row],[Ramp]]*DCTable3[[#This Row],[Baseline Hrs]]</f>
        <v>721.06233103455099</v>
      </c>
      <c r="H59" s="12">
        <f>DCTable3[[#This Row],[Hours Saved]]*25.23</f>
        <v>18192.402612001722</v>
      </c>
      <c r="I59" s="12">
        <f>DCTable3[[#This Row],[Dollar Impact]]*1.3273</f>
        <v>24146.775986909885</v>
      </c>
      <c r="J59" s="6" t="s">
        <v>19</v>
      </c>
    </row>
    <row r="60" spans="1:10" x14ac:dyDescent="0.25">
      <c r="A60" s="6" t="s">
        <v>26</v>
      </c>
      <c r="B60" s="6">
        <v>5085</v>
      </c>
      <c r="C60" s="6" t="s">
        <v>33</v>
      </c>
      <c r="D60" s="6">
        <v>202611</v>
      </c>
      <c r="E60" s="10">
        <v>1.767194338358799E-2</v>
      </c>
      <c r="F60" s="11">
        <v>44123.131699821613</v>
      </c>
      <c r="G60" s="11">
        <f>DCTable3[[#This Row],[Ramp]]*DCTable3[[#This Row],[Baseline Hrs]]</f>
        <v>779.74148530584409</v>
      </c>
      <c r="H60" s="12">
        <f>DCTable3[[#This Row],[Hours Saved]]*25.23</f>
        <v>19672.877674266449</v>
      </c>
      <c r="I60" s="12">
        <f>DCTable3[[#This Row],[Dollar Impact]]*1.3273</f>
        <v>26111.810537053854</v>
      </c>
      <c r="J60" s="6" t="s">
        <v>19</v>
      </c>
    </row>
    <row r="61" spans="1:10" x14ac:dyDescent="0.25">
      <c r="A61" s="6" t="s">
        <v>26</v>
      </c>
      <c r="B61" s="6">
        <v>5085</v>
      </c>
      <c r="C61" s="6" t="s">
        <v>33</v>
      </c>
      <c r="D61" s="6">
        <v>202612</v>
      </c>
      <c r="E61" s="10">
        <v>1.767194338358799E-2</v>
      </c>
      <c r="F61" s="11">
        <v>60002.29297156119</v>
      </c>
      <c r="G61" s="11">
        <f>DCTable3[[#This Row],[Ramp]]*DCTable3[[#This Row],[Baseline Hrs]]</f>
        <v>1060.3571242788889</v>
      </c>
      <c r="H61" s="12">
        <f>DCTable3[[#This Row],[Hours Saved]]*25.23</f>
        <v>26752.810245556368</v>
      </c>
      <c r="I61" s="12">
        <f>DCTable3[[#This Row],[Dollar Impact]]*1.3273</f>
        <v>35509.005038926967</v>
      </c>
      <c r="J61" s="6" t="s">
        <v>19</v>
      </c>
    </row>
    <row r="62" spans="1:10" x14ac:dyDescent="0.25">
      <c r="A62" s="6" t="s">
        <v>26</v>
      </c>
      <c r="B62" s="6">
        <v>5086</v>
      </c>
      <c r="C62" s="6" t="s">
        <v>34</v>
      </c>
      <c r="D62" s="6">
        <v>202601</v>
      </c>
      <c r="E62" s="10">
        <v>1.539263862269344E-2</v>
      </c>
      <c r="F62" s="11">
        <v>36980.322290698641</v>
      </c>
      <c r="G62" s="11">
        <f>DCTable3[[#This Row],[Ramp]]*DCTable3[[#This Row],[Baseline Hrs]]</f>
        <v>569.22473717145908</v>
      </c>
      <c r="H62" s="12">
        <f>DCTable3[[#This Row],[Hours Saved]]*25.23</f>
        <v>14361.540118835914</v>
      </c>
      <c r="I62" s="12">
        <f>DCTable3[[#This Row],[Dollar Impact]]*1.3273</f>
        <v>19062.072199730908</v>
      </c>
      <c r="J62" s="6" t="s">
        <v>19</v>
      </c>
    </row>
    <row r="63" spans="1:10" x14ac:dyDescent="0.25">
      <c r="A63" s="6" t="s">
        <v>26</v>
      </c>
      <c r="B63" s="6">
        <v>5086</v>
      </c>
      <c r="C63" s="6" t="s">
        <v>34</v>
      </c>
      <c r="D63" s="6">
        <v>202602</v>
      </c>
      <c r="E63" s="10">
        <v>1.539263862269344E-2</v>
      </c>
      <c r="F63" s="11">
        <v>38175.640351650225</v>
      </c>
      <c r="G63" s="11">
        <f>DCTable3[[#This Row],[Ramp]]*DCTable3[[#This Row],[Baseline Hrs]]</f>
        <v>587.62383612286544</v>
      </c>
      <c r="H63" s="12">
        <f>DCTable3[[#This Row],[Hours Saved]]*25.23</f>
        <v>14825.749385379895</v>
      </c>
      <c r="I63" s="12">
        <f>DCTable3[[#This Row],[Dollar Impact]]*1.3273</f>
        <v>19678.217159214735</v>
      </c>
      <c r="J63" s="6" t="s">
        <v>19</v>
      </c>
    </row>
    <row r="64" spans="1:10" x14ac:dyDescent="0.25">
      <c r="A64" s="6" t="s">
        <v>26</v>
      </c>
      <c r="B64" s="6">
        <v>5086</v>
      </c>
      <c r="C64" s="6" t="s">
        <v>34</v>
      </c>
      <c r="D64" s="6">
        <v>202603</v>
      </c>
      <c r="E64" s="10">
        <v>1.539263862269344E-2</v>
      </c>
      <c r="F64" s="11">
        <v>48901.973615159237</v>
      </c>
      <c r="G64" s="11">
        <f>DCTable3[[#This Row],[Ramp]]*DCTable3[[#This Row],[Baseline Hrs]]</f>
        <v>752.73040779463565</v>
      </c>
      <c r="H64" s="12">
        <f>DCTable3[[#This Row],[Hours Saved]]*25.23</f>
        <v>18991.388188658657</v>
      </c>
      <c r="I64" s="12">
        <f>DCTable3[[#This Row],[Dollar Impact]]*1.3273</f>
        <v>25207.269542806633</v>
      </c>
      <c r="J64" s="6" t="s">
        <v>19</v>
      </c>
    </row>
    <row r="65" spans="1:10" x14ac:dyDescent="0.25">
      <c r="A65" s="6" t="s">
        <v>26</v>
      </c>
      <c r="B65" s="6">
        <v>5086</v>
      </c>
      <c r="C65" s="6" t="s">
        <v>34</v>
      </c>
      <c r="D65" s="6">
        <v>202604</v>
      </c>
      <c r="E65" s="10">
        <v>1.539263862269344E-2</v>
      </c>
      <c r="F65" s="11">
        <v>34926.571173978256</v>
      </c>
      <c r="G65" s="11">
        <f>DCTable3[[#This Row],[Ramp]]*DCTable3[[#This Row],[Baseline Hrs]]</f>
        <v>537.61208841082907</v>
      </c>
      <c r="H65" s="12">
        <f>DCTable3[[#This Row],[Hours Saved]]*25.23</f>
        <v>13563.952990605218</v>
      </c>
      <c r="I65" s="12">
        <f>DCTable3[[#This Row],[Dollar Impact]]*1.3273</f>
        <v>18003.434804430304</v>
      </c>
      <c r="J65" s="6" t="s">
        <v>19</v>
      </c>
    </row>
    <row r="66" spans="1:10" x14ac:dyDescent="0.25">
      <c r="A66" s="6" t="s">
        <v>26</v>
      </c>
      <c r="B66" s="6">
        <v>5086</v>
      </c>
      <c r="C66" s="6" t="s">
        <v>34</v>
      </c>
      <c r="D66" s="6">
        <v>202605</v>
      </c>
      <c r="E66" s="10">
        <v>1.539263862269344E-2</v>
      </c>
      <c r="F66" s="11">
        <v>35877.453724495892</v>
      </c>
      <c r="G66" s="11">
        <f>DCTable3[[#This Row],[Ramp]]*DCTable3[[#This Row],[Baseline Hrs]]</f>
        <v>552.24867988357209</v>
      </c>
      <c r="H66" s="12">
        <f>DCTable3[[#This Row],[Hours Saved]]*25.23</f>
        <v>13933.234193462524</v>
      </c>
      <c r="I66" s="12">
        <f>DCTable3[[#This Row],[Dollar Impact]]*1.3273</f>
        <v>18493.581744982806</v>
      </c>
      <c r="J66" s="6" t="s">
        <v>19</v>
      </c>
    </row>
    <row r="67" spans="1:10" x14ac:dyDescent="0.25">
      <c r="A67" s="6" t="s">
        <v>26</v>
      </c>
      <c r="B67" s="6">
        <v>5086</v>
      </c>
      <c r="C67" s="6" t="s">
        <v>34</v>
      </c>
      <c r="D67" s="6">
        <v>202606</v>
      </c>
      <c r="E67" s="10">
        <v>1.539263862269344E-2</v>
      </c>
      <c r="F67" s="11">
        <v>42653.555092302529</v>
      </c>
      <c r="G67" s="11">
        <f>DCTable3[[#This Row],[Ramp]]*DCTable3[[#This Row],[Baseline Hrs]]</f>
        <v>656.55075950895844</v>
      </c>
      <c r="H67" s="12">
        <f>DCTable3[[#This Row],[Hours Saved]]*25.23</f>
        <v>16564.775662411022</v>
      </c>
      <c r="I67" s="12">
        <f>DCTable3[[#This Row],[Dollar Impact]]*1.3273</f>
        <v>21986.426736718149</v>
      </c>
      <c r="J67" s="6" t="s">
        <v>19</v>
      </c>
    </row>
    <row r="68" spans="1:10" x14ac:dyDescent="0.25">
      <c r="A68" s="6" t="s">
        <v>26</v>
      </c>
      <c r="B68" s="6">
        <v>5086</v>
      </c>
      <c r="C68" s="6" t="s">
        <v>34</v>
      </c>
      <c r="D68" s="6">
        <v>202607</v>
      </c>
      <c r="E68" s="10">
        <v>1.539263862269344E-2</v>
      </c>
      <c r="F68" s="11">
        <v>33177.205260488096</v>
      </c>
      <c r="G68" s="11">
        <f>DCTable3[[#This Row],[Ramp]]*DCTable3[[#This Row],[Baseline Hrs]]</f>
        <v>510.68473108561705</v>
      </c>
      <c r="H68" s="12">
        <f>DCTable3[[#This Row],[Hours Saved]]*25.23</f>
        <v>12884.575765290117</v>
      </c>
      <c r="I68" s="12">
        <f>DCTable3[[#This Row],[Dollar Impact]]*1.3273</f>
        <v>17101.697413269572</v>
      </c>
      <c r="J68" s="6" t="s">
        <v>19</v>
      </c>
    </row>
    <row r="69" spans="1:10" x14ac:dyDescent="0.25">
      <c r="A69" s="6" t="s">
        <v>26</v>
      </c>
      <c r="B69" s="6">
        <v>5086</v>
      </c>
      <c r="C69" s="6" t="s">
        <v>34</v>
      </c>
      <c r="D69" s="6">
        <v>202608</v>
      </c>
      <c r="E69" s="10">
        <v>1.539263862269344E-2</v>
      </c>
      <c r="F69" s="11">
        <v>33449.363987867284</v>
      </c>
      <c r="G69" s="11">
        <f>DCTable3[[#This Row],[Ramp]]*DCTable3[[#This Row],[Baseline Hrs]]</f>
        <v>514.87397202417708</v>
      </c>
      <c r="H69" s="12">
        <f>DCTable3[[#This Row],[Hours Saved]]*25.23</f>
        <v>12990.270314169988</v>
      </c>
      <c r="I69" s="12">
        <f>DCTable3[[#This Row],[Dollar Impact]]*1.3273</f>
        <v>17241.985787997823</v>
      </c>
      <c r="J69" s="6" t="s">
        <v>19</v>
      </c>
    </row>
    <row r="70" spans="1:10" x14ac:dyDescent="0.25">
      <c r="A70" s="6" t="s">
        <v>26</v>
      </c>
      <c r="B70" s="6">
        <v>5086</v>
      </c>
      <c r="C70" s="6" t="s">
        <v>34</v>
      </c>
      <c r="D70" s="6">
        <v>202609</v>
      </c>
      <c r="E70" s="10">
        <v>1.539263862269344E-2</v>
      </c>
      <c r="F70" s="11">
        <v>36461.433260826103</v>
      </c>
      <c r="G70" s="11">
        <f>DCTable3[[#This Row],[Ramp]]*DCTable3[[#This Row],[Baseline Hrs]]</f>
        <v>561.23766584935106</v>
      </c>
      <c r="H70" s="12">
        <f>DCTable3[[#This Row],[Hours Saved]]*25.23</f>
        <v>14160.026309379127</v>
      </c>
      <c r="I70" s="12">
        <f>DCTable3[[#This Row],[Dollar Impact]]*1.3273</f>
        <v>18794.602920438916</v>
      </c>
      <c r="J70" s="6" t="s">
        <v>19</v>
      </c>
    </row>
    <row r="71" spans="1:10" x14ac:dyDescent="0.25">
      <c r="A71" s="6" t="s">
        <v>26</v>
      </c>
      <c r="B71" s="6">
        <v>5086</v>
      </c>
      <c r="C71" s="6" t="s">
        <v>34</v>
      </c>
      <c r="D71" s="6">
        <v>202610</v>
      </c>
      <c r="E71" s="10">
        <v>1.539263862269344E-2</v>
      </c>
      <c r="F71" s="11">
        <v>25715.167049211246</v>
      </c>
      <c r="G71" s="11">
        <f>DCTable3[[#This Row],[Ramp]]*DCTable3[[#This Row],[Baseline Hrs]]</f>
        <v>395.82427351070271</v>
      </c>
      <c r="H71" s="12">
        <f>DCTable3[[#This Row],[Hours Saved]]*25.23</f>
        <v>9986.6464206750297</v>
      </c>
      <c r="I71" s="12">
        <f>DCTable3[[#This Row],[Dollar Impact]]*1.3273</f>
        <v>13255.275794161966</v>
      </c>
      <c r="J71" s="6" t="s">
        <v>19</v>
      </c>
    </row>
    <row r="72" spans="1:10" x14ac:dyDescent="0.25">
      <c r="A72" s="6" t="s">
        <v>26</v>
      </c>
      <c r="B72" s="6">
        <v>5086</v>
      </c>
      <c r="C72" s="6" t="s">
        <v>34</v>
      </c>
      <c r="D72" s="6">
        <v>202611</v>
      </c>
      <c r="E72" s="10">
        <v>1.539263862269344E-2</v>
      </c>
      <c r="F72" s="11">
        <v>28258.215555802461</v>
      </c>
      <c r="G72" s="11">
        <f>DCTable3[[#This Row],[Ramp]]*DCTable3[[#This Row],[Baseline Hrs]]</f>
        <v>434.96850017264154</v>
      </c>
      <c r="H72" s="12">
        <f>DCTable3[[#This Row],[Hours Saved]]*25.23</f>
        <v>10974.255259355747</v>
      </c>
      <c r="I72" s="12">
        <f>DCTable3[[#This Row],[Dollar Impact]]*1.3273</f>
        <v>14566.129005742881</v>
      </c>
      <c r="J72" s="6" t="s">
        <v>19</v>
      </c>
    </row>
    <row r="73" spans="1:10" x14ac:dyDescent="0.25">
      <c r="A73" s="6" t="s">
        <v>26</v>
      </c>
      <c r="B73" s="6">
        <v>5086</v>
      </c>
      <c r="C73" s="6" t="s">
        <v>34</v>
      </c>
      <c r="D73" s="6">
        <v>202612</v>
      </c>
      <c r="E73" s="10">
        <v>1.539263862269344E-2</v>
      </c>
      <c r="F73" s="11">
        <v>38274.105069224875</v>
      </c>
      <c r="G73" s="11">
        <f>DCTable3[[#This Row],[Ramp]]*DCTable3[[#This Row],[Baseline Hrs]]</f>
        <v>589.13946793757759</v>
      </c>
      <c r="H73" s="12">
        <f>DCTable3[[#This Row],[Hours Saved]]*25.23</f>
        <v>14863.988776065084</v>
      </c>
      <c r="I73" s="12">
        <f>DCTable3[[#This Row],[Dollar Impact]]*1.3273</f>
        <v>19728.972302471186</v>
      </c>
      <c r="J73" s="6" t="s">
        <v>19</v>
      </c>
    </row>
    <row r="74" spans="1:10" x14ac:dyDescent="0.25">
      <c r="A74" s="6" t="s">
        <v>28</v>
      </c>
      <c r="B74" s="6">
        <v>5087</v>
      </c>
      <c r="C74" s="6" t="s">
        <v>35</v>
      </c>
      <c r="D74" s="6">
        <v>202601</v>
      </c>
      <c r="E74" s="10">
        <v>1.6744204099173023E-2</v>
      </c>
      <c r="F74" s="11">
        <v>44791.252623796732</v>
      </c>
      <c r="G74" s="11">
        <f>DCTable3[[#This Row],[Ramp]]*DCTable3[[#This Row],[Baseline Hrs]]</f>
        <v>749.99387579047163</v>
      </c>
      <c r="H74" s="12">
        <f>DCTable3[[#This Row],[Hours Saved]]*25.23</f>
        <v>18922.345486193601</v>
      </c>
      <c r="I74" s="12">
        <f>DCTable3[[#This Row],[Dollar Impact]]*1.3273</f>
        <v>25115.629163824764</v>
      </c>
      <c r="J74" s="6" t="s">
        <v>19</v>
      </c>
    </row>
    <row r="75" spans="1:10" x14ac:dyDescent="0.25">
      <c r="A75" s="6" t="s">
        <v>28</v>
      </c>
      <c r="B75" s="6">
        <v>5087</v>
      </c>
      <c r="C75" s="6" t="s">
        <v>35</v>
      </c>
      <c r="D75" s="6">
        <v>202602</v>
      </c>
      <c r="E75" s="10">
        <v>1.6744204099173023E-2</v>
      </c>
      <c r="F75" s="11">
        <v>47118.282975608214</v>
      </c>
      <c r="G75" s="11">
        <f>DCTable3[[#This Row],[Ramp]]*DCTable3[[#This Row],[Baseline Hrs]]</f>
        <v>788.95814694617354</v>
      </c>
      <c r="H75" s="12">
        <f>DCTable3[[#This Row],[Hours Saved]]*25.23</f>
        <v>19905.414047451959</v>
      </c>
      <c r="I75" s="12">
        <f>DCTable3[[#This Row],[Dollar Impact]]*1.3273</f>
        <v>26420.456065182985</v>
      </c>
      <c r="J75" s="6" t="s">
        <v>19</v>
      </c>
    </row>
    <row r="76" spans="1:10" x14ac:dyDescent="0.25">
      <c r="A76" s="6" t="s">
        <v>28</v>
      </c>
      <c r="B76" s="6">
        <v>5087</v>
      </c>
      <c r="C76" s="6" t="s">
        <v>35</v>
      </c>
      <c r="D76" s="6">
        <v>202603</v>
      </c>
      <c r="E76" s="10">
        <v>1.6744204099173023E-2</v>
      </c>
      <c r="F76" s="11">
        <v>57609.295100153315</v>
      </c>
      <c r="G76" s="11">
        <f>DCTable3[[#This Row],[Ramp]]*DCTable3[[#This Row],[Baseline Hrs]]</f>
        <v>964.62179516645551</v>
      </c>
      <c r="H76" s="12">
        <f>DCTable3[[#This Row],[Hours Saved]]*25.23</f>
        <v>24337.407892049672</v>
      </c>
      <c r="I76" s="12">
        <f>DCTable3[[#This Row],[Dollar Impact]]*1.3273</f>
        <v>32303.04149511753</v>
      </c>
      <c r="J76" s="6" t="s">
        <v>19</v>
      </c>
    </row>
    <row r="77" spans="1:10" x14ac:dyDescent="0.25">
      <c r="A77" s="6" t="s">
        <v>28</v>
      </c>
      <c r="B77" s="6">
        <v>5087</v>
      </c>
      <c r="C77" s="6" t="s">
        <v>35</v>
      </c>
      <c r="D77" s="6">
        <v>202604</v>
      </c>
      <c r="E77" s="10">
        <v>1.6744204099173023E-2</v>
      </c>
      <c r="F77" s="11">
        <v>42984.078510047191</v>
      </c>
      <c r="G77" s="11">
        <f>DCTable3[[#This Row],[Ramp]]*DCTable3[[#This Row],[Baseline Hrs]]</f>
        <v>719.73418358710717</v>
      </c>
      <c r="H77" s="12">
        <f>DCTable3[[#This Row],[Hours Saved]]*25.23</f>
        <v>18158.893451902713</v>
      </c>
      <c r="I77" s="12">
        <f>DCTable3[[#This Row],[Dollar Impact]]*1.3273</f>
        <v>24102.29927871047</v>
      </c>
      <c r="J77" s="6" t="s">
        <v>19</v>
      </c>
    </row>
    <row r="78" spans="1:10" x14ac:dyDescent="0.25">
      <c r="A78" s="6" t="s">
        <v>28</v>
      </c>
      <c r="B78" s="6">
        <v>5087</v>
      </c>
      <c r="C78" s="6" t="s">
        <v>35</v>
      </c>
      <c r="D78" s="6">
        <v>202605</v>
      </c>
      <c r="E78" s="10">
        <v>1.6744204099173023E-2</v>
      </c>
      <c r="F78" s="11">
        <v>41348.327602398676</v>
      </c>
      <c r="G78" s="11">
        <f>DCTable3[[#This Row],[Ramp]]*DCTable3[[#This Row],[Baseline Hrs]]</f>
        <v>692.34483653403299</v>
      </c>
      <c r="H78" s="12">
        <f>DCTable3[[#This Row],[Hours Saved]]*25.23</f>
        <v>17467.860225753651</v>
      </c>
      <c r="I78" s="12">
        <f>DCTable3[[#This Row],[Dollar Impact]]*1.3273</f>
        <v>23185.090877642819</v>
      </c>
      <c r="J78" s="6" t="s">
        <v>19</v>
      </c>
    </row>
    <row r="79" spans="1:10" x14ac:dyDescent="0.25">
      <c r="A79" s="6" t="s">
        <v>28</v>
      </c>
      <c r="B79" s="6">
        <v>5087</v>
      </c>
      <c r="C79" s="6" t="s">
        <v>35</v>
      </c>
      <c r="D79" s="6">
        <v>202606</v>
      </c>
      <c r="E79" s="10">
        <v>1.6744204099173023E-2</v>
      </c>
      <c r="F79" s="11">
        <v>51274.57968420715</v>
      </c>
      <c r="G79" s="11">
        <f>DCTable3[[#This Row],[Ramp]]*DCTable3[[#This Row],[Baseline Hrs]]</f>
        <v>858.55202733167516</v>
      </c>
      <c r="H79" s="12">
        <f>DCTable3[[#This Row],[Hours Saved]]*25.23</f>
        <v>21661.267649578163</v>
      </c>
      <c r="I79" s="12">
        <f>DCTable3[[#This Row],[Dollar Impact]]*1.3273</f>
        <v>28751.000551285095</v>
      </c>
      <c r="J79" s="6" t="s">
        <v>19</v>
      </c>
    </row>
    <row r="80" spans="1:10" x14ac:dyDescent="0.25">
      <c r="A80" s="6" t="s">
        <v>28</v>
      </c>
      <c r="B80" s="6">
        <v>5087</v>
      </c>
      <c r="C80" s="6" t="s">
        <v>35</v>
      </c>
      <c r="D80" s="6">
        <v>202607</v>
      </c>
      <c r="E80" s="10">
        <v>1.6744204099173023E-2</v>
      </c>
      <c r="F80" s="11">
        <v>41435.116382890279</v>
      </c>
      <c r="G80" s="11">
        <f>DCTable3[[#This Row],[Ramp]]*DCTable3[[#This Row],[Baseline Hrs]]</f>
        <v>693.7980455881027</v>
      </c>
      <c r="H80" s="12">
        <f>DCTable3[[#This Row],[Hours Saved]]*25.23</f>
        <v>17504.524690187831</v>
      </c>
      <c r="I80" s="12">
        <f>DCTable3[[#This Row],[Dollar Impact]]*1.3273</f>
        <v>23233.755621286306</v>
      </c>
      <c r="J80" s="6" t="s">
        <v>19</v>
      </c>
    </row>
    <row r="81" spans="1:10" x14ac:dyDescent="0.25">
      <c r="A81" s="6" t="s">
        <v>28</v>
      </c>
      <c r="B81" s="6">
        <v>5087</v>
      </c>
      <c r="C81" s="6" t="s">
        <v>35</v>
      </c>
      <c r="D81" s="6">
        <v>202608</v>
      </c>
      <c r="E81" s="10">
        <v>1.6744204099173023E-2</v>
      </c>
      <c r="F81" s="11">
        <v>43981.692694083715</v>
      </c>
      <c r="G81" s="11">
        <f>DCTable3[[#This Row],[Ramp]]*DCTable3[[#This Row],[Baseline Hrs]]</f>
        <v>736.43843909684472</v>
      </c>
      <c r="H81" s="12">
        <f>DCTable3[[#This Row],[Hours Saved]]*25.23</f>
        <v>18580.341818413392</v>
      </c>
      <c r="I81" s="12">
        <f>DCTable3[[#This Row],[Dollar Impact]]*1.3273</f>
        <v>24661.687695580094</v>
      </c>
      <c r="J81" s="6" t="s">
        <v>19</v>
      </c>
    </row>
    <row r="82" spans="1:10" x14ac:dyDescent="0.25">
      <c r="A82" s="6" t="s">
        <v>28</v>
      </c>
      <c r="B82" s="6">
        <v>5087</v>
      </c>
      <c r="C82" s="6" t="s">
        <v>35</v>
      </c>
      <c r="D82" s="6">
        <v>202609</v>
      </c>
      <c r="E82" s="10">
        <v>1.6744204099173023E-2</v>
      </c>
      <c r="F82" s="11">
        <v>48952.523124482213</v>
      </c>
      <c r="G82" s="11">
        <f>DCTable3[[#This Row],[Ramp]]*DCTable3[[#This Row],[Baseline Hrs]]</f>
        <v>819.67103836581725</v>
      </c>
      <c r="H82" s="12">
        <f>DCTable3[[#This Row],[Hours Saved]]*25.23</f>
        <v>20680.30029796957</v>
      </c>
      <c r="I82" s="12">
        <f>DCTable3[[#This Row],[Dollar Impact]]*1.3273</f>
        <v>27448.96258549501</v>
      </c>
      <c r="J82" s="6" t="s">
        <v>19</v>
      </c>
    </row>
    <row r="83" spans="1:10" x14ac:dyDescent="0.25">
      <c r="A83" s="6" t="s">
        <v>28</v>
      </c>
      <c r="B83" s="6">
        <v>5087</v>
      </c>
      <c r="C83" s="6" t="s">
        <v>35</v>
      </c>
      <c r="D83" s="6">
        <v>202610</v>
      </c>
      <c r="E83" s="10">
        <v>1.6744204099173023E-2</v>
      </c>
      <c r="F83" s="11">
        <v>33656.735102684892</v>
      </c>
      <c r="G83" s="11">
        <f>DCTable3[[#This Row],[Ramp]]*DCTable3[[#This Row],[Baseline Hrs]]</f>
        <v>563.55524187115691</v>
      </c>
      <c r="H83" s="12">
        <f>DCTable3[[#This Row],[Hours Saved]]*25.23</f>
        <v>14218.498752409288</v>
      </c>
      <c r="I83" s="12">
        <f>DCTable3[[#This Row],[Dollar Impact]]*1.3273</f>
        <v>18872.213394072849</v>
      </c>
      <c r="J83" s="6" t="s">
        <v>19</v>
      </c>
    </row>
    <row r="84" spans="1:10" x14ac:dyDescent="0.25">
      <c r="A84" s="6" t="s">
        <v>28</v>
      </c>
      <c r="B84" s="6">
        <v>5087</v>
      </c>
      <c r="C84" s="6" t="s">
        <v>35</v>
      </c>
      <c r="D84" s="6">
        <v>202611</v>
      </c>
      <c r="E84" s="10">
        <v>1.6744204099173023E-2</v>
      </c>
      <c r="F84" s="11">
        <v>35502.260033728024</v>
      </c>
      <c r="G84" s="11">
        <f>DCTable3[[#This Row],[Ramp]]*DCTable3[[#This Row],[Baseline Hrs]]</f>
        <v>594.45708798665532</v>
      </c>
      <c r="H84" s="12">
        <f>DCTable3[[#This Row],[Hours Saved]]*25.23</f>
        <v>14998.152329903314</v>
      </c>
      <c r="I84" s="12">
        <f>DCTable3[[#This Row],[Dollar Impact]]*1.3273</f>
        <v>19907.047587480669</v>
      </c>
      <c r="J84" s="6" t="s">
        <v>19</v>
      </c>
    </row>
    <row r="85" spans="1:10" x14ac:dyDescent="0.25">
      <c r="A85" s="6" t="s">
        <v>28</v>
      </c>
      <c r="B85" s="6">
        <v>5087</v>
      </c>
      <c r="C85" s="6" t="s">
        <v>35</v>
      </c>
      <c r="D85" s="6">
        <v>202612</v>
      </c>
      <c r="E85" s="10">
        <v>1.6744204099173023E-2</v>
      </c>
      <c r="F85" s="11">
        <v>49256.794961961517</v>
      </c>
      <c r="G85" s="11">
        <f>DCTable3[[#This Row],[Ramp]]*DCTable3[[#This Row],[Baseline Hrs]]</f>
        <v>824.7658281142011</v>
      </c>
      <c r="H85" s="12">
        <f>DCTable3[[#This Row],[Hours Saved]]*25.23</f>
        <v>20808.841843321294</v>
      </c>
      <c r="I85" s="12">
        <f>DCTable3[[#This Row],[Dollar Impact]]*1.3273</f>
        <v>27619.575778640352</v>
      </c>
      <c r="J85" s="6" t="s">
        <v>19</v>
      </c>
    </row>
    <row r="86" spans="1:10" x14ac:dyDescent="0.25">
      <c r="A86" s="6" t="s">
        <v>26</v>
      </c>
      <c r="B86" s="6">
        <v>5088</v>
      </c>
      <c r="C86" s="6" t="s">
        <v>36</v>
      </c>
      <c r="D86" s="6">
        <v>202601</v>
      </c>
      <c r="E86" s="10">
        <v>2.0287618047353202E-2</v>
      </c>
      <c r="F86" s="11">
        <v>37261.590937798443</v>
      </c>
      <c r="G86" s="11">
        <f>DCTable3[[#This Row],[Ramp]]*DCTable3[[#This Row],[Baseline Hrs]]</f>
        <v>755.94892478277222</v>
      </c>
      <c r="H86" s="12">
        <f>DCTable3[[#This Row],[Hours Saved]]*25.23</f>
        <v>19072.591372269344</v>
      </c>
      <c r="I86" s="12">
        <f>DCTable3[[#This Row],[Dollar Impact]]*1.3273</f>
        <v>25315.0505284131</v>
      </c>
      <c r="J86" s="6" t="s">
        <v>19</v>
      </c>
    </row>
    <row r="87" spans="1:10" x14ac:dyDescent="0.25">
      <c r="A87" s="6" t="s">
        <v>26</v>
      </c>
      <c r="B87" s="6">
        <v>5088</v>
      </c>
      <c r="C87" s="6" t="s">
        <v>36</v>
      </c>
      <c r="D87" s="6">
        <v>202602</v>
      </c>
      <c r="E87" s="10">
        <v>2.0287618047353202E-2</v>
      </c>
      <c r="F87" s="11">
        <v>39554.274909056687</v>
      </c>
      <c r="G87" s="11">
        <f>DCTable3[[#This Row],[Ramp]]*DCTable3[[#This Row],[Baseline Hrs]]</f>
        <v>802.46202149494832</v>
      </c>
      <c r="H87" s="12">
        <f>DCTable3[[#This Row],[Hours Saved]]*25.23</f>
        <v>20246.116802317545</v>
      </c>
      <c r="I87" s="12">
        <f>DCTable3[[#This Row],[Dollar Impact]]*1.3273</f>
        <v>26872.670831716077</v>
      </c>
      <c r="J87" s="6" t="s">
        <v>19</v>
      </c>
    </row>
    <row r="88" spans="1:10" x14ac:dyDescent="0.25">
      <c r="A88" s="6" t="s">
        <v>26</v>
      </c>
      <c r="B88" s="6">
        <v>5088</v>
      </c>
      <c r="C88" s="6" t="s">
        <v>36</v>
      </c>
      <c r="D88" s="6">
        <v>202603</v>
      </c>
      <c r="E88" s="10">
        <v>2.0287618047353202E-2</v>
      </c>
      <c r="F88" s="11">
        <v>50470.329203887246</v>
      </c>
      <c r="G88" s="11">
        <f>DCTable3[[#This Row],[Ramp]]*DCTable3[[#This Row],[Baseline Hrs]]</f>
        <v>1023.9227616126402</v>
      </c>
      <c r="H88" s="12">
        <f>DCTable3[[#This Row],[Hours Saved]]*25.23</f>
        <v>25833.571275486913</v>
      </c>
      <c r="I88" s="12">
        <f>DCTable3[[#This Row],[Dollar Impact]]*1.3273</f>
        <v>34288.899153953775</v>
      </c>
      <c r="J88" s="6" t="s">
        <v>19</v>
      </c>
    </row>
    <row r="89" spans="1:10" x14ac:dyDescent="0.25">
      <c r="A89" s="6" t="s">
        <v>26</v>
      </c>
      <c r="B89" s="6">
        <v>5088</v>
      </c>
      <c r="C89" s="6" t="s">
        <v>36</v>
      </c>
      <c r="D89" s="6">
        <v>202604</v>
      </c>
      <c r="E89" s="10">
        <v>2.0287618047353202E-2</v>
      </c>
      <c r="F89" s="11">
        <v>38329.338054583197</v>
      </c>
      <c r="G89" s="11">
        <f>DCTable3[[#This Row],[Ramp]]*DCTable3[[#This Row],[Baseline Hrs]]</f>
        <v>777.61097045926397</v>
      </c>
      <c r="H89" s="12">
        <f>DCTable3[[#This Row],[Hours Saved]]*25.23</f>
        <v>19619.124784687232</v>
      </c>
      <c r="I89" s="12">
        <f>DCTable3[[#This Row],[Dollar Impact]]*1.3273</f>
        <v>26040.464326715362</v>
      </c>
      <c r="J89" s="6" t="s">
        <v>19</v>
      </c>
    </row>
    <row r="90" spans="1:10" x14ac:dyDescent="0.25">
      <c r="A90" s="6" t="s">
        <v>26</v>
      </c>
      <c r="B90" s="6">
        <v>5088</v>
      </c>
      <c r="C90" s="6" t="s">
        <v>36</v>
      </c>
      <c r="D90" s="6">
        <v>202605</v>
      </c>
      <c r="E90" s="10">
        <v>2.0287618047353202E-2</v>
      </c>
      <c r="F90" s="11">
        <v>36963.715214566888</v>
      </c>
      <c r="G90" s="11">
        <f>DCTable3[[#This Row],[Ramp]]*DCTable3[[#This Row],[Baseline Hrs]]</f>
        <v>749.90573588427128</v>
      </c>
      <c r="H90" s="12">
        <f>DCTable3[[#This Row],[Hours Saved]]*25.23</f>
        <v>18920.121716360165</v>
      </c>
      <c r="I90" s="12">
        <f>DCTable3[[#This Row],[Dollar Impact]]*1.3273</f>
        <v>25112.677554124846</v>
      </c>
      <c r="J90" s="6" t="s">
        <v>19</v>
      </c>
    </row>
    <row r="91" spans="1:10" x14ac:dyDescent="0.25">
      <c r="A91" s="6" t="s">
        <v>26</v>
      </c>
      <c r="B91" s="6">
        <v>5088</v>
      </c>
      <c r="C91" s="6" t="s">
        <v>36</v>
      </c>
      <c r="D91" s="6">
        <v>202606</v>
      </c>
      <c r="E91" s="10">
        <v>2.0287618047353202E-2</v>
      </c>
      <c r="F91" s="11">
        <v>44197.293655458743</v>
      </c>
      <c r="G91" s="11">
        <f>DCTable3[[#This Row],[Ramp]]*DCTable3[[#This Row],[Baseline Hrs]]</f>
        <v>896.65781240865397</v>
      </c>
      <c r="H91" s="12">
        <f>DCTable3[[#This Row],[Hours Saved]]*25.23</f>
        <v>22622.676607070342</v>
      </c>
      <c r="I91" s="12">
        <f>DCTable3[[#This Row],[Dollar Impact]]*1.3273</f>
        <v>30027.078660564464</v>
      </c>
      <c r="J91" s="6" t="s">
        <v>19</v>
      </c>
    </row>
    <row r="92" spans="1:10" x14ac:dyDescent="0.25">
      <c r="A92" s="6" t="s">
        <v>26</v>
      </c>
      <c r="B92" s="6">
        <v>5088</v>
      </c>
      <c r="C92" s="6" t="s">
        <v>36</v>
      </c>
      <c r="D92" s="6">
        <v>202607</v>
      </c>
      <c r="E92" s="10">
        <v>2.0287618047353202E-2</v>
      </c>
      <c r="F92" s="11">
        <v>35384.285719776744</v>
      </c>
      <c r="G92" s="11">
        <f>DCTable3[[#This Row],[Ramp]]*DCTable3[[#This Row],[Baseline Hrs]]</f>
        <v>717.8628735612449</v>
      </c>
      <c r="H92" s="12">
        <f>DCTable3[[#This Row],[Hours Saved]]*25.23</f>
        <v>18111.680299950211</v>
      </c>
      <c r="I92" s="12">
        <f>DCTable3[[#This Row],[Dollar Impact]]*1.3273</f>
        <v>24039.633262123913</v>
      </c>
      <c r="J92" s="6" t="s">
        <v>19</v>
      </c>
    </row>
    <row r="93" spans="1:10" x14ac:dyDescent="0.25">
      <c r="A93" s="6" t="s">
        <v>26</v>
      </c>
      <c r="B93" s="6">
        <v>5088</v>
      </c>
      <c r="C93" s="6" t="s">
        <v>36</v>
      </c>
      <c r="D93" s="6">
        <v>202608</v>
      </c>
      <c r="E93" s="10">
        <v>2.0287618047353202E-2</v>
      </c>
      <c r="F93" s="11">
        <v>35741.578600588669</v>
      </c>
      <c r="G93" s="11">
        <f>DCTable3[[#This Row],[Ramp]]*DCTable3[[#This Row],[Baseline Hrs]]</f>
        <v>725.11149505819571</v>
      </c>
      <c r="H93" s="12">
        <f>DCTable3[[#This Row],[Hours Saved]]*25.23</f>
        <v>18294.563020318277</v>
      </c>
      <c r="I93" s="12">
        <f>DCTable3[[#This Row],[Dollar Impact]]*1.3273</f>
        <v>24282.373496868448</v>
      </c>
      <c r="J93" s="6" t="s">
        <v>19</v>
      </c>
    </row>
    <row r="94" spans="1:10" x14ac:dyDescent="0.25">
      <c r="A94" s="6" t="s">
        <v>26</v>
      </c>
      <c r="B94" s="6">
        <v>5088</v>
      </c>
      <c r="C94" s="6" t="s">
        <v>36</v>
      </c>
      <c r="D94" s="6">
        <v>202609</v>
      </c>
      <c r="E94" s="10">
        <v>2.0287618047353202E-2</v>
      </c>
      <c r="F94" s="11">
        <v>35896.539930912593</v>
      </c>
      <c r="G94" s="11">
        <f>DCTable3[[#This Row],[Ramp]]*DCTable3[[#This Row],[Baseline Hrs]]</f>
        <v>728.25529133991722</v>
      </c>
      <c r="H94" s="12">
        <f>DCTable3[[#This Row],[Hours Saved]]*25.23</f>
        <v>18373.881000506113</v>
      </c>
      <c r="I94" s="12">
        <f>DCTable3[[#This Row],[Dollar Impact]]*1.3273</f>
        <v>24387.652251971762</v>
      </c>
      <c r="J94" s="6" t="s">
        <v>19</v>
      </c>
    </row>
    <row r="95" spans="1:10" x14ac:dyDescent="0.25">
      <c r="A95" s="6" t="s">
        <v>26</v>
      </c>
      <c r="B95" s="6">
        <v>5088</v>
      </c>
      <c r="C95" s="6" t="s">
        <v>36</v>
      </c>
      <c r="D95" s="6">
        <v>202610</v>
      </c>
      <c r="E95" s="10">
        <v>2.0287618047353202E-2</v>
      </c>
      <c r="F95" s="11">
        <v>24416.409285180875</v>
      </c>
      <c r="G95" s="11">
        <f>DCTable3[[#This Row],[Ramp]]*DCTable3[[#This Row],[Baseline Hrs]]</f>
        <v>495.35078566559781</v>
      </c>
      <c r="H95" s="12">
        <f>DCTable3[[#This Row],[Hours Saved]]*25.23</f>
        <v>12497.700322343033</v>
      </c>
      <c r="I95" s="12">
        <f>DCTable3[[#This Row],[Dollar Impact]]*1.3273</f>
        <v>16588.197637845908</v>
      </c>
      <c r="J95" s="6" t="s">
        <v>19</v>
      </c>
    </row>
    <row r="96" spans="1:10" x14ac:dyDescent="0.25">
      <c r="A96" s="6" t="s">
        <v>26</v>
      </c>
      <c r="B96" s="6">
        <v>5088</v>
      </c>
      <c r="C96" s="6" t="s">
        <v>36</v>
      </c>
      <c r="D96" s="6">
        <v>202611</v>
      </c>
      <c r="E96" s="10">
        <v>2.0287618047353202E-2</v>
      </c>
      <c r="F96" s="11">
        <v>25515.494720426126</v>
      </c>
      <c r="G96" s="11">
        <f>DCTable3[[#This Row],[Ramp]]*DCTable3[[#This Row],[Baseline Hrs]]</f>
        <v>517.64861117726241</v>
      </c>
      <c r="H96" s="12">
        <f>DCTable3[[#This Row],[Hours Saved]]*25.23</f>
        <v>13060.274460002331</v>
      </c>
      <c r="I96" s="12">
        <f>DCTable3[[#This Row],[Dollar Impact]]*1.3273</f>
        <v>17334.902290761092</v>
      </c>
      <c r="J96" s="6" t="s">
        <v>19</v>
      </c>
    </row>
    <row r="97" spans="1:10" x14ac:dyDescent="0.25">
      <c r="A97" s="6" t="s">
        <v>26</v>
      </c>
      <c r="B97" s="6">
        <v>5088</v>
      </c>
      <c r="C97" s="6" t="s">
        <v>36</v>
      </c>
      <c r="D97" s="6">
        <v>202612</v>
      </c>
      <c r="E97" s="10">
        <v>2.0287618047353202E-2</v>
      </c>
      <c r="F97" s="11">
        <v>36386.608930288035</v>
      </c>
      <c r="G97" s="11">
        <f>DCTable3[[#This Row],[Ramp]]*DCTable3[[#This Row],[Baseline Hrs]]</f>
        <v>738.19762401609466</v>
      </c>
      <c r="H97" s="12">
        <f>DCTable3[[#This Row],[Hours Saved]]*25.23</f>
        <v>18624.726053926068</v>
      </c>
      <c r="I97" s="12">
        <f>DCTable3[[#This Row],[Dollar Impact]]*1.3273</f>
        <v>24720.59889137607</v>
      </c>
      <c r="J97" s="6" t="s">
        <v>19</v>
      </c>
    </row>
    <row r="98" spans="1:10" x14ac:dyDescent="0.25">
      <c r="A98" s="6" t="s">
        <v>30</v>
      </c>
      <c r="B98" s="6">
        <v>5089</v>
      </c>
      <c r="C98" s="6" t="s">
        <v>37</v>
      </c>
      <c r="D98" s="6">
        <v>202601</v>
      </c>
      <c r="E98" s="10">
        <v>1.8933847217525404E-2</v>
      </c>
      <c r="F98" s="11">
        <v>38637.895044230048</v>
      </c>
      <c r="G98" s="11">
        <f>DCTable3[[#This Row],[Ramp]]*DCTable3[[#This Row],[Baseline Hrs]]</f>
        <v>731.56400157423366</v>
      </c>
      <c r="H98" s="12">
        <f>DCTable3[[#This Row],[Hours Saved]]*25.23</f>
        <v>18457.359759717914</v>
      </c>
      <c r="I98" s="12">
        <f>DCTable3[[#This Row],[Dollar Impact]]*1.3273</f>
        <v>24498.453609073586</v>
      </c>
      <c r="J98" s="6" t="s">
        <v>19</v>
      </c>
    </row>
    <row r="99" spans="1:10" x14ac:dyDescent="0.25">
      <c r="A99" s="6" t="s">
        <v>30</v>
      </c>
      <c r="B99" s="6">
        <v>5089</v>
      </c>
      <c r="C99" s="6" t="s">
        <v>37</v>
      </c>
      <c r="D99" s="6">
        <v>202602</v>
      </c>
      <c r="E99" s="10">
        <v>1.8933847217525404E-2</v>
      </c>
      <c r="F99" s="11">
        <v>43652.870765725034</v>
      </c>
      <c r="G99" s="11">
        <f>DCTable3[[#This Row],[Ramp]]*DCTable3[[#This Row],[Baseline Hrs]]</f>
        <v>826.51678568461898</v>
      </c>
      <c r="H99" s="12">
        <f>DCTable3[[#This Row],[Hours Saved]]*25.23</f>
        <v>20853.018502822939</v>
      </c>
      <c r="I99" s="12">
        <f>DCTable3[[#This Row],[Dollar Impact]]*1.3273</f>
        <v>27678.211458796886</v>
      </c>
      <c r="J99" s="6" t="s">
        <v>19</v>
      </c>
    </row>
    <row r="100" spans="1:10" x14ac:dyDescent="0.25">
      <c r="A100" s="6" t="s">
        <v>30</v>
      </c>
      <c r="B100" s="6">
        <v>5089</v>
      </c>
      <c r="C100" s="6" t="s">
        <v>37</v>
      </c>
      <c r="D100" s="6">
        <v>202603</v>
      </c>
      <c r="E100" s="10">
        <v>1.8933847217525404E-2</v>
      </c>
      <c r="F100" s="11">
        <v>55295.084389765281</v>
      </c>
      <c r="G100" s="11">
        <f>DCTable3[[#This Row],[Ramp]]*DCTable3[[#This Row],[Baseline Hrs]]</f>
        <v>1046.9486797159898</v>
      </c>
      <c r="H100" s="12">
        <f>DCTable3[[#This Row],[Hours Saved]]*25.23</f>
        <v>26414.515189234422</v>
      </c>
      <c r="I100" s="12">
        <f>DCTable3[[#This Row],[Dollar Impact]]*1.3273</f>
        <v>35059.986010670844</v>
      </c>
      <c r="J100" s="6" t="s">
        <v>19</v>
      </c>
    </row>
    <row r="101" spans="1:10" x14ac:dyDescent="0.25">
      <c r="A101" s="6" t="s">
        <v>30</v>
      </c>
      <c r="B101" s="6">
        <v>5089</v>
      </c>
      <c r="C101" s="6" t="s">
        <v>37</v>
      </c>
      <c r="D101" s="6">
        <v>202604</v>
      </c>
      <c r="E101" s="10">
        <v>1.8933847217525404E-2</v>
      </c>
      <c r="F101" s="11">
        <v>41523.571884633777</v>
      </c>
      <c r="G101" s="11">
        <f>DCTable3[[#This Row],[Ramp]]*DCTable3[[#This Row],[Baseline Hrs]]</f>
        <v>786.20096598958935</v>
      </c>
      <c r="H101" s="12">
        <f>DCTable3[[#This Row],[Hours Saved]]*25.23</f>
        <v>19835.850371917339</v>
      </c>
      <c r="I101" s="12">
        <f>DCTable3[[#This Row],[Dollar Impact]]*1.3273</f>
        <v>26328.124198645881</v>
      </c>
      <c r="J101" s="6" t="s">
        <v>19</v>
      </c>
    </row>
    <row r="102" spans="1:10" x14ac:dyDescent="0.25">
      <c r="A102" s="6" t="s">
        <v>30</v>
      </c>
      <c r="B102" s="6">
        <v>5089</v>
      </c>
      <c r="C102" s="6" t="s">
        <v>37</v>
      </c>
      <c r="D102" s="6">
        <v>202605</v>
      </c>
      <c r="E102" s="10">
        <v>1.8933847217525404E-2</v>
      </c>
      <c r="F102" s="11">
        <v>40148.028881181388</v>
      </c>
      <c r="G102" s="11">
        <f>DCTable3[[#This Row],[Ramp]]*DCTable3[[#This Row],[Baseline Hrs]]</f>
        <v>760.15664492108579</v>
      </c>
      <c r="H102" s="12">
        <f>DCTable3[[#This Row],[Hours Saved]]*25.23</f>
        <v>19178.752151358996</v>
      </c>
      <c r="I102" s="12">
        <f>DCTable3[[#This Row],[Dollar Impact]]*1.3273</f>
        <v>25455.957730498794</v>
      </c>
      <c r="J102" s="6" t="s">
        <v>19</v>
      </c>
    </row>
    <row r="103" spans="1:10" x14ac:dyDescent="0.25">
      <c r="A103" s="6" t="s">
        <v>30</v>
      </c>
      <c r="B103" s="6">
        <v>5089</v>
      </c>
      <c r="C103" s="6" t="s">
        <v>37</v>
      </c>
      <c r="D103" s="6">
        <v>202606</v>
      </c>
      <c r="E103" s="10">
        <v>1.8933847217525404E-2</v>
      </c>
      <c r="F103" s="11">
        <v>48248.733548088632</v>
      </c>
      <c r="G103" s="11">
        <f>DCTable3[[#This Row],[Ramp]]*DCTable3[[#This Row],[Baseline Hrs]]</f>
        <v>913.53414943860253</v>
      </c>
      <c r="H103" s="12">
        <f>DCTable3[[#This Row],[Hours Saved]]*25.23</f>
        <v>23048.466590335942</v>
      </c>
      <c r="I103" s="12">
        <f>DCTable3[[#This Row],[Dollar Impact]]*1.3273</f>
        <v>30592.229705352893</v>
      </c>
      <c r="J103" s="6" t="s">
        <v>19</v>
      </c>
    </row>
    <row r="104" spans="1:10" x14ac:dyDescent="0.25">
      <c r="A104" s="6" t="s">
        <v>30</v>
      </c>
      <c r="B104" s="6">
        <v>5089</v>
      </c>
      <c r="C104" s="6" t="s">
        <v>37</v>
      </c>
      <c r="D104" s="6">
        <v>202607</v>
      </c>
      <c r="E104" s="10">
        <v>1.8933847217525404E-2</v>
      </c>
      <c r="F104" s="11">
        <v>39572.704128613666</v>
      </c>
      <c r="G104" s="11">
        <f>DCTable3[[#This Row],[Ramp]]*DCTable3[[#This Row],[Baseline Hrs]]</f>
        <v>749.26353395550791</v>
      </c>
      <c r="H104" s="12">
        <f>DCTable3[[#This Row],[Hours Saved]]*25.23</f>
        <v>18903.918961697465</v>
      </c>
      <c r="I104" s="12">
        <f>DCTable3[[#This Row],[Dollar Impact]]*1.3273</f>
        <v>25091.171637861044</v>
      </c>
      <c r="J104" s="6" t="s">
        <v>19</v>
      </c>
    </row>
    <row r="105" spans="1:10" x14ac:dyDescent="0.25">
      <c r="A105" s="6" t="s">
        <v>30</v>
      </c>
      <c r="B105" s="6">
        <v>5089</v>
      </c>
      <c r="C105" s="6" t="s">
        <v>37</v>
      </c>
      <c r="D105" s="6">
        <v>202608</v>
      </c>
      <c r="E105" s="10">
        <v>1.8933847217525404E-2</v>
      </c>
      <c r="F105" s="11">
        <v>38986.847040106208</v>
      </c>
      <c r="G105" s="11">
        <f>DCTable3[[#This Row],[Ramp]]*DCTable3[[#This Row],[Baseline Hrs]]</f>
        <v>738.17100535040345</v>
      </c>
      <c r="H105" s="12">
        <f>DCTable3[[#This Row],[Hours Saved]]*25.23</f>
        <v>18624.054464990681</v>
      </c>
      <c r="I105" s="12">
        <f>DCTable3[[#This Row],[Dollar Impact]]*1.3273</f>
        <v>24719.707491382131</v>
      </c>
      <c r="J105" s="6" t="s">
        <v>19</v>
      </c>
    </row>
    <row r="106" spans="1:10" x14ac:dyDescent="0.25">
      <c r="A106" s="6" t="s">
        <v>30</v>
      </c>
      <c r="B106" s="6">
        <v>5089</v>
      </c>
      <c r="C106" s="6" t="s">
        <v>37</v>
      </c>
      <c r="D106" s="6">
        <v>202609</v>
      </c>
      <c r="E106" s="10">
        <v>1.8933847217525404E-2</v>
      </c>
      <c r="F106" s="11">
        <v>47095.848266358778</v>
      </c>
      <c r="G106" s="11">
        <f>DCTable3[[#This Row],[Ramp]]*DCTable3[[#This Row],[Baseline Hrs]]</f>
        <v>891.70559565499582</v>
      </c>
      <c r="H106" s="12">
        <f>DCTable3[[#This Row],[Hours Saved]]*25.23</f>
        <v>22497.732178375543</v>
      </c>
      <c r="I106" s="12">
        <f>DCTable3[[#This Row],[Dollar Impact]]*1.3273</f>
        <v>29861.239920357857</v>
      </c>
      <c r="J106" s="6" t="s">
        <v>19</v>
      </c>
    </row>
    <row r="107" spans="1:10" x14ac:dyDescent="0.25">
      <c r="A107" s="6" t="s">
        <v>30</v>
      </c>
      <c r="B107" s="6">
        <v>5089</v>
      </c>
      <c r="C107" s="6" t="s">
        <v>37</v>
      </c>
      <c r="D107" s="6">
        <v>202610</v>
      </c>
      <c r="E107" s="10">
        <v>1.8933847217525404E-2</v>
      </c>
      <c r="F107" s="11">
        <v>30764.069427706523</v>
      </c>
      <c r="G107" s="11">
        <f>DCTable3[[#This Row],[Ramp]]*DCTable3[[#This Row],[Baseline Hrs]]</f>
        <v>582.48219033353951</v>
      </c>
      <c r="H107" s="12">
        <f>DCTable3[[#This Row],[Hours Saved]]*25.23</f>
        <v>14696.025662115202</v>
      </c>
      <c r="I107" s="12">
        <f>DCTable3[[#This Row],[Dollar Impact]]*1.3273</f>
        <v>19506.034861325508</v>
      </c>
      <c r="J107" s="6" t="s">
        <v>19</v>
      </c>
    </row>
    <row r="108" spans="1:10" x14ac:dyDescent="0.25">
      <c r="A108" s="6" t="s">
        <v>30</v>
      </c>
      <c r="B108" s="6">
        <v>5089</v>
      </c>
      <c r="C108" s="6" t="s">
        <v>37</v>
      </c>
      <c r="D108" s="6">
        <v>202611</v>
      </c>
      <c r="E108" s="10">
        <v>1.8933847217525404E-2</v>
      </c>
      <c r="F108" s="11">
        <v>31647.642758369679</v>
      </c>
      <c r="G108" s="11">
        <f>DCTable3[[#This Row],[Ramp]]*DCTable3[[#This Row],[Baseline Hrs]]</f>
        <v>599.21163278179574</v>
      </c>
      <c r="H108" s="12">
        <f>DCTable3[[#This Row],[Hours Saved]]*25.23</f>
        <v>15118.109495084707</v>
      </c>
      <c r="I108" s="12">
        <f>DCTable3[[#This Row],[Dollar Impact]]*1.3273</f>
        <v>20066.26673282593</v>
      </c>
      <c r="J108" s="6" t="s">
        <v>19</v>
      </c>
    </row>
    <row r="109" spans="1:10" x14ac:dyDescent="0.25">
      <c r="A109" s="6" t="s">
        <v>30</v>
      </c>
      <c r="B109" s="6">
        <v>5089</v>
      </c>
      <c r="C109" s="6" t="s">
        <v>37</v>
      </c>
      <c r="D109" s="6">
        <v>202612</v>
      </c>
      <c r="E109" s="10">
        <v>1.8933847217525404E-2</v>
      </c>
      <c r="F109" s="11">
        <v>45490.450438904263</v>
      </c>
      <c r="G109" s="11">
        <f>DCTable3[[#This Row],[Ramp]]*DCTable3[[#This Row],[Baseline Hrs]]</f>
        <v>861.30923846662483</v>
      </c>
      <c r="H109" s="12">
        <f>DCTable3[[#This Row],[Hours Saved]]*25.23</f>
        <v>21730.832086512946</v>
      </c>
      <c r="I109" s="12">
        <f>DCTable3[[#This Row],[Dollar Impact]]*1.3273</f>
        <v>28843.333428428632</v>
      </c>
      <c r="J109" s="6" t="s">
        <v>19</v>
      </c>
    </row>
    <row r="110" spans="1:10" x14ac:dyDescent="0.25">
      <c r="A110" s="6" t="s">
        <v>30</v>
      </c>
      <c r="B110" s="6">
        <v>5120</v>
      </c>
      <c r="C110" s="6" t="s">
        <v>38</v>
      </c>
      <c r="D110" s="6">
        <v>202601</v>
      </c>
      <c r="E110" s="10">
        <v>1.7819899947842232E-2</v>
      </c>
      <c r="F110" s="11">
        <v>41780.693920423058</v>
      </c>
      <c r="G110" s="11">
        <f>DCTable3[[#This Row],[Ramp]]*DCTable3[[#This Row],[Baseline Hrs]]</f>
        <v>744.52778541335908</v>
      </c>
      <c r="H110" s="12">
        <f>DCTable3[[#This Row],[Hours Saved]]*25.23</f>
        <v>18784.436025979048</v>
      </c>
      <c r="I110" s="12">
        <f>DCTable3[[#This Row],[Dollar Impact]]*1.3273</f>
        <v>24932.58193728199</v>
      </c>
      <c r="J110" s="6" t="s">
        <v>19</v>
      </c>
    </row>
    <row r="111" spans="1:10" x14ac:dyDescent="0.25">
      <c r="A111" s="6" t="s">
        <v>30</v>
      </c>
      <c r="B111" s="6">
        <v>5120</v>
      </c>
      <c r="C111" s="6" t="s">
        <v>38</v>
      </c>
      <c r="D111" s="6">
        <v>202602</v>
      </c>
      <c r="E111" s="10">
        <v>1.7819899947842232E-2</v>
      </c>
      <c r="F111" s="11">
        <v>44253.811074791047</v>
      </c>
      <c r="G111" s="11">
        <f>DCTable3[[#This Row],[Ramp]]*DCTable3[[#This Row],[Baseline Hrs]]</f>
        <v>788.59848566348899</v>
      </c>
      <c r="H111" s="12">
        <f>DCTable3[[#This Row],[Hours Saved]]*25.23</f>
        <v>19896.339793289826</v>
      </c>
      <c r="I111" s="12">
        <f>DCTable3[[#This Row],[Dollar Impact]]*1.3273</f>
        <v>26408.411807633584</v>
      </c>
      <c r="J111" s="6" t="s">
        <v>19</v>
      </c>
    </row>
    <row r="112" spans="1:10" x14ac:dyDescent="0.25">
      <c r="A112" s="6" t="s">
        <v>30</v>
      </c>
      <c r="B112" s="6">
        <v>5120</v>
      </c>
      <c r="C112" s="6" t="s">
        <v>38</v>
      </c>
      <c r="D112" s="6">
        <v>202603</v>
      </c>
      <c r="E112" s="10">
        <v>1.7819899947842232E-2</v>
      </c>
      <c r="F112" s="11">
        <v>57662.590844532861</v>
      </c>
      <c r="G112" s="11">
        <f>DCTable3[[#This Row],[Ramp]]*DCTable3[[#This Row],[Baseline Hrs]]</f>
        <v>1027.5415995829392</v>
      </c>
      <c r="H112" s="12">
        <f>DCTable3[[#This Row],[Hours Saved]]*25.23</f>
        <v>25924.874557477557</v>
      </c>
      <c r="I112" s="12">
        <f>DCTable3[[#This Row],[Dollar Impact]]*1.3273</f>
        <v>34410.086000139956</v>
      </c>
      <c r="J112" s="6" t="s">
        <v>19</v>
      </c>
    </row>
    <row r="113" spans="1:13" x14ac:dyDescent="0.25">
      <c r="A113" s="6" t="s">
        <v>30</v>
      </c>
      <c r="B113" s="6">
        <v>5120</v>
      </c>
      <c r="C113" s="6" t="s">
        <v>38</v>
      </c>
      <c r="D113" s="6">
        <v>202604</v>
      </c>
      <c r="E113" s="10">
        <v>1.7819899947842232E-2</v>
      </c>
      <c r="F113" s="11">
        <v>40314.323592913686</v>
      </c>
      <c r="G113" s="11">
        <f>DCTable3[[#This Row],[Ramp]]*DCTable3[[#This Row],[Baseline Hrs]]</f>
        <v>718.39721289065744</v>
      </c>
      <c r="H113" s="12">
        <f>DCTable3[[#This Row],[Hours Saved]]*25.23</f>
        <v>18125.161681231286</v>
      </c>
      <c r="I113" s="12">
        <f>DCTable3[[#This Row],[Dollar Impact]]*1.3273</f>
        <v>24057.527099498286</v>
      </c>
      <c r="J113" s="6" t="s">
        <v>19</v>
      </c>
    </row>
    <row r="114" spans="1:13" x14ac:dyDescent="0.25">
      <c r="A114" s="6" t="s">
        <v>30</v>
      </c>
      <c r="B114" s="6">
        <v>5120</v>
      </c>
      <c r="C114" s="6" t="s">
        <v>38</v>
      </c>
      <c r="D114" s="6">
        <v>202605</v>
      </c>
      <c r="E114" s="10">
        <v>1.7819899947842232E-2</v>
      </c>
      <c r="F114" s="11">
        <v>40789.434899970263</v>
      </c>
      <c r="G114" s="11">
        <f>DCTable3[[#This Row],[Ramp]]*DCTable3[[#This Row],[Baseline Hrs]]</f>
        <v>726.86364884649424</v>
      </c>
      <c r="H114" s="12">
        <f>DCTable3[[#This Row],[Hours Saved]]*25.23</f>
        <v>18338.769860397049</v>
      </c>
      <c r="I114" s="12">
        <f>DCTable3[[#This Row],[Dollar Impact]]*1.3273</f>
        <v>24341.049235705003</v>
      </c>
      <c r="J114" s="6" t="s">
        <v>19</v>
      </c>
    </row>
    <row r="115" spans="1:13" x14ac:dyDescent="0.25">
      <c r="A115" s="6" t="s">
        <v>30</v>
      </c>
      <c r="B115" s="6">
        <v>5120</v>
      </c>
      <c r="C115" s="6" t="s">
        <v>38</v>
      </c>
      <c r="D115" s="6">
        <v>202606</v>
      </c>
      <c r="E115" s="10">
        <v>1.7819899947842232E-2</v>
      </c>
      <c r="F115" s="11">
        <v>49441.638215800675</v>
      </c>
      <c r="G115" s="11">
        <f>DCTable3[[#This Row],[Ramp]]*DCTable3[[#This Row],[Baseline Hrs]]</f>
        <v>881.04504626298092</v>
      </c>
      <c r="H115" s="12">
        <f>DCTable3[[#This Row],[Hours Saved]]*25.23</f>
        <v>22228.766517215008</v>
      </c>
      <c r="I115" s="12">
        <f>DCTable3[[#This Row],[Dollar Impact]]*1.3273</f>
        <v>29504.241798299478</v>
      </c>
      <c r="J115" s="6" t="s">
        <v>19</v>
      </c>
    </row>
    <row r="116" spans="1:13" x14ac:dyDescent="0.25">
      <c r="A116" s="6" t="s">
        <v>30</v>
      </c>
      <c r="B116" s="6">
        <v>5120</v>
      </c>
      <c r="C116" s="6" t="s">
        <v>38</v>
      </c>
      <c r="D116" s="6">
        <v>202607</v>
      </c>
      <c r="E116" s="10">
        <v>1.7819899947842232E-2</v>
      </c>
      <c r="F116" s="11">
        <v>40351.402478327276</v>
      </c>
      <c r="G116" s="11">
        <f>DCTable3[[#This Row],[Ramp]]*DCTable3[[#This Row],[Baseline Hrs]]</f>
        <v>719.05795491890512</v>
      </c>
      <c r="H116" s="12">
        <f>DCTable3[[#This Row],[Hours Saved]]*25.23</f>
        <v>18141.832202603975</v>
      </c>
      <c r="I116" s="12">
        <f>DCTable3[[#This Row],[Dollar Impact]]*1.3273</f>
        <v>24079.653882516253</v>
      </c>
      <c r="J116" s="6" t="s">
        <v>19</v>
      </c>
    </row>
    <row r="117" spans="1:13" x14ac:dyDescent="0.25">
      <c r="A117" s="6" t="s">
        <v>30</v>
      </c>
      <c r="B117" s="6">
        <v>5120</v>
      </c>
      <c r="C117" s="6" t="s">
        <v>38</v>
      </c>
      <c r="D117" s="6">
        <v>202608</v>
      </c>
      <c r="E117" s="10">
        <v>1.7819899947842232E-2</v>
      </c>
      <c r="F117" s="11">
        <v>40263.610397824668</v>
      </c>
      <c r="G117" s="11">
        <f>DCTable3[[#This Row],[Ramp]]*DCTable3[[#This Row],[Baseline Hrs]]</f>
        <v>717.49350882813576</v>
      </c>
      <c r="H117" s="12">
        <f>DCTable3[[#This Row],[Hours Saved]]*25.23</f>
        <v>18102.361227733865</v>
      </c>
      <c r="I117" s="12">
        <f>DCTable3[[#This Row],[Dollar Impact]]*1.3273</f>
        <v>24027.264057571159</v>
      </c>
      <c r="J117" s="6" t="s">
        <v>19</v>
      </c>
    </row>
    <row r="118" spans="1:13" x14ac:dyDescent="0.25">
      <c r="A118" s="6" t="s">
        <v>30</v>
      </c>
      <c r="B118" s="6">
        <v>5120</v>
      </c>
      <c r="C118" s="6" t="s">
        <v>38</v>
      </c>
      <c r="D118" s="6">
        <v>202609</v>
      </c>
      <c r="E118" s="10">
        <v>1.7819899947842232E-2</v>
      </c>
      <c r="F118" s="11">
        <v>47098.081639204465</v>
      </c>
      <c r="G118" s="11">
        <f>DCTable3[[#This Row],[Ramp]]*DCTable3[[#This Row],[Baseline Hrs]]</f>
        <v>839.28310254592884</v>
      </c>
      <c r="H118" s="12">
        <f>DCTable3[[#This Row],[Hours Saved]]*25.23</f>
        <v>21175.112677233785</v>
      </c>
      <c r="I118" s="12">
        <f>DCTable3[[#This Row],[Dollar Impact]]*1.3273</f>
        <v>28105.7270564924</v>
      </c>
      <c r="J118" s="6" t="s">
        <v>19</v>
      </c>
    </row>
    <row r="119" spans="1:13" x14ac:dyDescent="0.25">
      <c r="A119" s="6" t="s">
        <v>30</v>
      </c>
      <c r="B119" s="6">
        <v>5120</v>
      </c>
      <c r="C119" s="6" t="s">
        <v>38</v>
      </c>
      <c r="D119" s="6">
        <v>202610</v>
      </c>
      <c r="E119" s="10">
        <v>1.7819899947842232E-2</v>
      </c>
      <c r="F119" s="11">
        <v>33041.042615282793</v>
      </c>
      <c r="G119" s="11">
        <f>DCTable3[[#This Row],[Ramp]]*DCTable3[[#This Row],[Baseline Hrs]]</f>
        <v>588.78807357673077</v>
      </c>
      <c r="H119" s="12">
        <f>DCTable3[[#This Row],[Hours Saved]]*25.23</f>
        <v>14855.123096340918</v>
      </c>
      <c r="I119" s="12">
        <f>DCTable3[[#This Row],[Dollar Impact]]*1.3273</f>
        <v>19717.204885773299</v>
      </c>
      <c r="J119" s="6" t="s">
        <v>19</v>
      </c>
    </row>
    <row r="120" spans="1:13" x14ac:dyDescent="0.25">
      <c r="A120" s="6" t="s">
        <v>30</v>
      </c>
      <c r="B120" s="6">
        <v>5120</v>
      </c>
      <c r="C120" s="6" t="s">
        <v>38</v>
      </c>
      <c r="D120" s="6">
        <v>202611</v>
      </c>
      <c r="E120" s="10">
        <v>1.7819899947842232E-2</v>
      </c>
      <c r="F120" s="11">
        <v>33374.350717643065</v>
      </c>
      <c r="G120" s="11">
        <f>DCTable3[[#This Row],[Ramp]]*DCTable3[[#This Row],[Baseline Hrs]]</f>
        <v>594.72759061259603</v>
      </c>
      <c r="H120" s="12">
        <f>DCTable3[[#This Row],[Hours Saved]]*25.23</f>
        <v>15004.977111155798</v>
      </c>
      <c r="I120" s="12">
        <f>DCTable3[[#This Row],[Dollar Impact]]*1.3273</f>
        <v>19916.10611963709</v>
      </c>
      <c r="J120" s="6" t="s">
        <v>19</v>
      </c>
    </row>
    <row r="121" spans="1:13" x14ac:dyDescent="0.25">
      <c r="A121" s="6" t="s">
        <v>30</v>
      </c>
      <c r="B121" s="6">
        <v>5120</v>
      </c>
      <c r="C121" s="6" t="s">
        <v>38</v>
      </c>
      <c r="D121" s="6">
        <v>202612</v>
      </c>
      <c r="E121" s="10">
        <v>1.7819899947842232E-2</v>
      </c>
      <c r="F121" s="11">
        <v>45882.369840678068</v>
      </c>
      <c r="G121" s="11">
        <f>DCTable3[[#This Row],[Ramp]]*DCTable3[[#This Row],[Baseline Hrs]]</f>
        <v>817.6192399307771</v>
      </c>
      <c r="H121" s="12">
        <f>DCTable3[[#This Row],[Hours Saved]]*25.23</f>
        <v>20628.533423453508</v>
      </c>
      <c r="I121" s="12">
        <f>DCTable3[[#This Row],[Dollar Impact]]*1.3273</f>
        <v>27380.252412949838</v>
      </c>
      <c r="J121" s="6" t="s">
        <v>19</v>
      </c>
    </row>
    <row r="122" spans="1:13" x14ac:dyDescent="0.25">
      <c r="A122" s="6" t="s">
        <v>30</v>
      </c>
      <c r="B122" s="6">
        <v>5221</v>
      </c>
      <c r="C122" s="6" t="s">
        <v>39</v>
      </c>
      <c r="D122" s="6">
        <v>202601</v>
      </c>
      <c r="E122" s="10">
        <v>1.6267077603928766E-2</v>
      </c>
      <c r="F122" s="11">
        <v>42245.539043691919</v>
      </c>
      <c r="G122" s="11">
        <f>DCTable3[[#This Row],[Ramp]]*DCTable3[[#This Row],[Baseline Hrs]]</f>
        <v>687.21146204353909</v>
      </c>
      <c r="H122" s="12">
        <f>DCTable3[[#This Row],[Hours Saved]]*25.23</f>
        <v>17338.345187358493</v>
      </c>
      <c r="I122" s="12">
        <f>DCTable3[[#This Row],[Dollar Impact]]*1.3273</f>
        <v>23013.185567180924</v>
      </c>
      <c r="J122" s="6" t="s">
        <v>19</v>
      </c>
    </row>
    <row r="123" spans="1:13" x14ac:dyDescent="0.25">
      <c r="A123" s="6" t="s">
        <v>30</v>
      </c>
      <c r="B123" s="6">
        <v>5221</v>
      </c>
      <c r="C123" s="6" t="s">
        <v>39</v>
      </c>
      <c r="D123" s="6">
        <v>202602</v>
      </c>
      <c r="E123" s="10">
        <v>1.6267077603928766E-2</v>
      </c>
      <c r="F123" s="11">
        <v>48157.803076783071</v>
      </c>
      <c r="G123" s="11">
        <f>DCTable3[[#This Row],[Ramp]]*DCTable3[[#This Row],[Baseline Hrs]]</f>
        <v>783.38671988474971</v>
      </c>
      <c r="H123" s="12">
        <f>DCTable3[[#This Row],[Hours Saved]]*25.23</f>
        <v>19764.846942692235</v>
      </c>
      <c r="I123" s="12">
        <f>DCTable3[[#This Row],[Dollar Impact]]*1.3273</f>
        <v>26233.881347035403</v>
      </c>
      <c r="J123" s="6" t="s">
        <v>19</v>
      </c>
    </row>
    <row r="124" spans="1:13" x14ac:dyDescent="0.25">
      <c r="A124" s="6" t="s">
        <v>30</v>
      </c>
      <c r="B124" s="6">
        <v>5221</v>
      </c>
      <c r="C124" s="6" t="s">
        <v>39</v>
      </c>
      <c r="D124" s="6">
        <v>202603</v>
      </c>
      <c r="E124" s="10">
        <v>1.6267077603928766E-2</v>
      </c>
      <c r="F124" s="11">
        <v>59774.798152935808</v>
      </c>
      <c r="G124" s="11">
        <f>DCTable3[[#This Row],[Ramp]]*DCTable3[[#This Row],[Baseline Hrs]]</f>
        <v>972.3612803129846</v>
      </c>
      <c r="H124" s="12">
        <f>DCTable3[[#This Row],[Hours Saved]]*25.23</f>
        <v>24532.675102296602</v>
      </c>
      <c r="I124" s="12">
        <f>DCTable3[[#This Row],[Dollar Impact]]*1.3273</f>
        <v>32562.219663278276</v>
      </c>
      <c r="J124" s="6" t="s">
        <v>19</v>
      </c>
    </row>
    <row r="125" spans="1:13" x14ac:dyDescent="0.25">
      <c r="A125" s="6" t="s">
        <v>30</v>
      </c>
      <c r="B125" s="6">
        <v>5221</v>
      </c>
      <c r="C125" s="6" t="s">
        <v>39</v>
      </c>
      <c r="D125" s="6">
        <v>202604</v>
      </c>
      <c r="E125" s="10">
        <v>1.6267077603928766E-2</v>
      </c>
      <c r="F125" s="11">
        <v>43647.968599506334</v>
      </c>
      <c r="G125" s="11">
        <f>DCTable3[[#This Row],[Ramp]]*DCTable3[[#This Row],[Baseline Hrs]]</f>
        <v>710.02489246201549</v>
      </c>
      <c r="H125" s="12">
        <f>DCTable3[[#This Row],[Hours Saved]]*25.23</f>
        <v>17913.928036816651</v>
      </c>
      <c r="I125" s="12">
        <f>DCTable3[[#This Row],[Dollar Impact]]*1.3273</f>
        <v>23777.156683266741</v>
      </c>
      <c r="J125" s="6" t="s">
        <v>19</v>
      </c>
      <c r="M125" s="17"/>
    </row>
    <row r="126" spans="1:13" x14ac:dyDescent="0.25">
      <c r="A126" s="6" t="s">
        <v>30</v>
      </c>
      <c r="B126" s="6">
        <v>5221</v>
      </c>
      <c r="C126" s="6" t="s">
        <v>39</v>
      </c>
      <c r="D126" s="6">
        <v>202605</v>
      </c>
      <c r="E126" s="10">
        <v>1.6267077603928766E-2</v>
      </c>
      <c r="F126" s="11">
        <v>42273.510707819754</v>
      </c>
      <c r="G126" s="11">
        <f>DCTable3[[#This Row],[Ramp]]*DCTable3[[#This Row],[Baseline Hrs]]</f>
        <v>687.66647927461759</v>
      </c>
      <c r="H126" s="12">
        <f>DCTable3[[#This Row],[Hours Saved]]*25.23</f>
        <v>17349.825272098602</v>
      </c>
      <c r="I126" s="12">
        <f>DCTable3[[#This Row],[Dollar Impact]]*1.3273</f>
        <v>23028.423083656475</v>
      </c>
      <c r="J126" s="6" t="s">
        <v>19</v>
      </c>
      <c r="M126" s="17"/>
    </row>
    <row r="127" spans="1:13" x14ac:dyDescent="0.25">
      <c r="A127" s="6" t="s">
        <v>30</v>
      </c>
      <c r="B127" s="6">
        <v>5221</v>
      </c>
      <c r="C127" s="6" t="s">
        <v>39</v>
      </c>
      <c r="D127" s="6">
        <v>202606</v>
      </c>
      <c r="E127" s="10">
        <v>1.6267077603928766E-2</v>
      </c>
      <c r="F127" s="11">
        <v>51950.311409871269</v>
      </c>
      <c r="G127" s="11">
        <f>DCTable3[[#This Row],[Ramp]]*DCTable3[[#This Row],[Baseline Hrs]]</f>
        <v>845.07974725264194</v>
      </c>
      <c r="H127" s="12">
        <f>DCTable3[[#This Row],[Hours Saved]]*25.23</f>
        <v>21321.362023184156</v>
      </c>
      <c r="I127" s="12">
        <f>DCTable3[[#This Row],[Dollar Impact]]*1.3273</f>
        <v>28299.843813372328</v>
      </c>
      <c r="J127" s="6" t="s">
        <v>19</v>
      </c>
      <c r="M127" s="17"/>
    </row>
    <row r="128" spans="1:13" x14ac:dyDescent="0.25">
      <c r="A128" s="6" t="s">
        <v>30</v>
      </c>
      <c r="B128" s="6">
        <v>5221</v>
      </c>
      <c r="C128" s="6" t="s">
        <v>39</v>
      </c>
      <c r="D128" s="6">
        <v>202607</v>
      </c>
      <c r="E128" s="10">
        <v>1.6267077603928766E-2</v>
      </c>
      <c r="F128" s="11">
        <v>41598.827527858426</v>
      </c>
      <c r="G128" s="11">
        <f>DCTable3[[#This Row],[Ramp]]*DCTable3[[#This Row],[Baseline Hrs]]</f>
        <v>676.69135562812119</v>
      </c>
      <c r="H128" s="12">
        <f>DCTable3[[#This Row],[Hours Saved]]*25.23</f>
        <v>17072.922902497499</v>
      </c>
      <c r="I128" s="12">
        <f>DCTable3[[#This Row],[Dollar Impact]]*1.3273</f>
        <v>22660.890568484931</v>
      </c>
      <c r="J128" s="6" t="s">
        <v>19</v>
      </c>
      <c r="M128" s="17"/>
    </row>
    <row r="129" spans="1:13" x14ac:dyDescent="0.25">
      <c r="A129" s="6" t="s">
        <v>30</v>
      </c>
      <c r="B129" s="6">
        <v>5221</v>
      </c>
      <c r="C129" s="6" t="s">
        <v>39</v>
      </c>
      <c r="D129" s="6">
        <v>202608</v>
      </c>
      <c r="E129" s="10">
        <v>1.6267077603928766E-2</v>
      </c>
      <c r="F129" s="11">
        <v>43103.333769900579</v>
      </c>
      <c r="G129" s="11">
        <f>DCTable3[[#This Row],[Ramp]]*DCTable3[[#This Row],[Baseline Hrs]]</f>
        <v>701.16527542301617</v>
      </c>
      <c r="H129" s="12">
        <f>DCTable3[[#This Row],[Hours Saved]]*25.23</f>
        <v>17690.399898922697</v>
      </c>
      <c r="I129" s="12">
        <f>DCTable3[[#This Row],[Dollar Impact]]*1.3273</f>
        <v>23480.467785840094</v>
      </c>
      <c r="J129" s="6" t="s">
        <v>19</v>
      </c>
      <c r="M129" s="17"/>
    </row>
    <row r="130" spans="1:13" x14ac:dyDescent="0.25">
      <c r="A130" s="6" t="s">
        <v>30</v>
      </c>
      <c r="B130" s="6">
        <v>5221</v>
      </c>
      <c r="C130" s="6" t="s">
        <v>39</v>
      </c>
      <c r="D130" s="6">
        <v>202609</v>
      </c>
      <c r="E130" s="10">
        <v>1.6267077603928766E-2</v>
      </c>
      <c r="F130" s="11">
        <v>47754.81678723111</v>
      </c>
      <c r="G130" s="11">
        <f>DCTable3[[#This Row],[Ramp]]*DCTable3[[#This Row],[Baseline Hrs]]</f>
        <v>776.83131063928863</v>
      </c>
      <c r="H130" s="12">
        <f>DCTable3[[#This Row],[Hours Saved]]*25.23</f>
        <v>19599.453967429254</v>
      </c>
      <c r="I130" s="12">
        <f>DCTable3[[#This Row],[Dollar Impact]]*1.3273</f>
        <v>26014.355250968845</v>
      </c>
      <c r="J130" s="6" t="s">
        <v>19</v>
      </c>
      <c r="M130" s="17"/>
    </row>
    <row r="131" spans="1:13" x14ac:dyDescent="0.25">
      <c r="A131" s="6" t="s">
        <v>30</v>
      </c>
      <c r="B131" s="6">
        <v>5221</v>
      </c>
      <c r="C131" s="6" t="s">
        <v>39</v>
      </c>
      <c r="D131" s="6">
        <v>202610</v>
      </c>
      <c r="E131" s="10">
        <v>1.6267077603928766E-2</v>
      </c>
      <c r="F131" s="11">
        <v>33230.542396007921</v>
      </c>
      <c r="G131" s="11">
        <f>DCTable3[[#This Row],[Ramp]]*DCTable3[[#This Row],[Baseline Hrs]]</f>
        <v>540.5638119765058</v>
      </c>
      <c r="H131" s="12">
        <f>DCTable3[[#This Row],[Hours Saved]]*25.23</f>
        <v>13638.424976167242</v>
      </c>
      <c r="I131" s="12">
        <f>DCTable3[[#This Row],[Dollar Impact]]*1.3273</f>
        <v>18102.281470866779</v>
      </c>
      <c r="J131" s="6" t="s">
        <v>19</v>
      </c>
      <c r="M131" s="17"/>
    </row>
    <row r="132" spans="1:13" x14ac:dyDescent="0.25">
      <c r="A132" s="6" t="s">
        <v>30</v>
      </c>
      <c r="B132" s="6">
        <v>5221</v>
      </c>
      <c r="C132" s="6" t="s">
        <v>39</v>
      </c>
      <c r="D132" s="6">
        <v>202611</v>
      </c>
      <c r="E132" s="10">
        <v>1.6267077603928766E-2</v>
      </c>
      <c r="F132" s="11">
        <v>33793.520524961859</v>
      </c>
      <c r="G132" s="11">
        <f>DCTable3[[#This Row],[Ramp]]*DCTable3[[#This Row],[Baseline Hrs]]</f>
        <v>549.72182088951411</v>
      </c>
      <c r="H132" s="12">
        <f>DCTable3[[#This Row],[Hours Saved]]*25.23</f>
        <v>13869.481541042442</v>
      </c>
      <c r="I132" s="12">
        <f>DCTable3[[#This Row],[Dollar Impact]]*1.3273</f>
        <v>18408.962849425632</v>
      </c>
      <c r="J132" s="6" t="s">
        <v>19</v>
      </c>
      <c r="M132" s="17"/>
    </row>
    <row r="133" spans="1:13" x14ac:dyDescent="0.25">
      <c r="A133" s="6" t="s">
        <v>30</v>
      </c>
      <c r="B133" s="6">
        <v>5221</v>
      </c>
      <c r="C133" s="6" t="s">
        <v>39</v>
      </c>
      <c r="D133" s="6">
        <v>202612</v>
      </c>
      <c r="E133" s="10">
        <v>1.6267077603928766E-2</v>
      </c>
      <c r="F133" s="11">
        <v>44367.962298738821</v>
      </c>
      <c r="G133" s="11">
        <f>DCTable3[[#This Row],[Ramp]]*DCTable3[[#This Row],[Baseline Hrs]]</f>
        <v>721.73708584177018</v>
      </c>
      <c r="H133" s="12">
        <f>DCTable3[[#This Row],[Hours Saved]]*25.23</f>
        <v>18209.426675787861</v>
      </c>
      <c r="I133" s="12">
        <f>DCTable3[[#This Row],[Dollar Impact]]*1.3273</f>
        <v>24169.372026773228</v>
      </c>
      <c r="J133" s="6" t="s">
        <v>19</v>
      </c>
      <c r="M133" s="17"/>
    </row>
    <row r="134" spans="1:13" x14ac:dyDescent="0.25">
      <c r="A134" s="6" t="s">
        <v>26</v>
      </c>
      <c r="B134" s="6">
        <v>5250</v>
      </c>
      <c r="C134" s="6" t="s">
        <v>40</v>
      </c>
      <c r="D134" s="6">
        <v>202601</v>
      </c>
      <c r="E134" s="10">
        <v>1.5890801852281731E-2</v>
      </c>
      <c r="F134" s="11">
        <v>54532.135578629037</v>
      </c>
      <c r="G134" s="11">
        <f>DCTable3[[#This Row],[Ramp]]*DCTable3[[#This Row],[Baseline Hrs]]</f>
        <v>866.55936106175682</v>
      </c>
      <c r="H134" s="12">
        <f>DCTable3[[#This Row],[Hours Saved]]*25.23</f>
        <v>21863.292679588125</v>
      </c>
      <c r="I134" s="12">
        <f>DCTable3[[#This Row],[Dollar Impact]]*1.3273</f>
        <v>29019.148373617318</v>
      </c>
      <c r="J134" s="6" t="s">
        <v>19</v>
      </c>
      <c r="M134" s="17"/>
    </row>
    <row r="135" spans="1:13" x14ac:dyDescent="0.25">
      <c r="A135" s="6" t="s">
        <v>26</v>
      </c>
      <c r="B135" s="6">
        <v>5250</v>
      </c>
      <c r="C135" s="6" t="s">
        <v>40</v>
      </c>
      <c r="D135" s="6">
        <v>202602</v>
      </c>
      <c r="E135" s="10">
        <v>1.5890801852281731E-2</v>
      </c>
      <c r="F135" s="11">
        <v>60830.674109324551</v>
      </c>
      <c r="G135" s="11">
        <f>DCTable3[[#This Row],[Ramp]]*DCTable3[[#This Row],[Baseline Hrs]]</f>
        <v>966.64818881200085</v>
      </c>
      <c r="H135" s="12">
        <f>DCTable3[[#This Row],[Hours Saved]]*25.23</f>
        <v>24388.533803726783</v>
      </c>
      <c r="I135" s="12">
        <f>DCTable3[[#This Row],[Dollar Impact]]*1.3273</f>
        <v>32370.900917686558</v>
      </c>
      <c r="J135" s="6" t="s">
        <v>19</v>
      </c>
      <c r="M135" s="17"/>
    </row>
    <row r="136" spans="1:13" x14ac:dyDescent="0.25">
      <c r="A136" s="6" t="s">
        <v>26</v>
      </c>
      <c r="B136" s="6">
        <v>5250</v>
      </c>
      <c r="C136" s="6" t="s">
        <v>40</v>
      </c>
      <c r="D136" s="6">
        <v>202603</v>
      </c>
      <c r="E136" s="10">
        <v>1.5890801852281731E-2</v>
      </c>
      <c r="F136" s="11">
        <v>67237.949548624805</v>
      </c>
      <c r="G136" s="11">
        <f>DCTable3[[#This Row],[Ramp]]*DCTable3[[#This Row],[Baseline Hrs]]</f>
        <v>1068.4649332309127</v>
      </c>
      <c r="H136" s="12">
        <f>DCTable3[[#This Row],[Hours Saved]]*25.23</f>
        <v>26957.370265415928</v>
      </c>
      <c r="I136" s="12">
        <f>DCTable3[[#This Row],[Dollar Impact]]*1.3273</f>
        <v>35780.517553286561</v>
      </c>
      <c r="J136" s="6" t="s">
        <v>19</v>
      </c>
      <c r="M136" s="17"/>
    </row>
    <row r="137" spans="1:13" x14ac:dyDescent="0.25">
      <c r="A137" s="6" t="s">
        <v>26</v>
      </c>
      <c r="B137" s="6">
        <v>5250</v>
      </c>
      <c r="C137" s="6" t="s">
        <v>40</v>
      </c>
      <c r="D137" s="6">
        <v>202604</v>
      </c>
      <c r="E137" s="10">
        <v>1.5890801852281731E-2</v>
      </c>
      <c r="F137" s="11">
        <v>48732.29003573989</v>
      </c>
      <c r="G137" s="11">
        <f>DCTable3[[#This Row],[Ramp]]*DCTable3[[#This Row],[Baseline Hrs]]</f>
        <v>774.39516476586596</v>
      </c>
      <c r="H137" s="12">
        <f>DCTable3[[#This Row],[Hours Saved]]*25.23</f>
        <v>19537.990007042798</v>
      </c>
      <c r="I137" s="12">
        <f>DCTable3[[#This Row],[Dollar Impact]]*1.3273</f>
        <v>25932.774136347904</v>
      </c>
      <c r="J137" s="6" t="s">
        <v>19</v>
      </c>
    </row>
    <row r="138" spans="1:13" x14ac:dyDescent="0.25">
      <c r="A138" s="6" t="s">
        <v>26</v>
      </c>
      <c r="B138" s="6">
        <v>5250</v>
      </c>
      <c r="C138" s="6" t="s">
        <v>40</v>
      </c>
      <c r="D138" s="6">
        <v>202605</v>
      </c>
      <c r="E138" s="10">
        <v>1.5890801852281731E-2</v>
      </c>
      <c r="F138" s="11">
        <v>50255.646976980199</v>
      </c>
      <c r="G138" s="11">
        <f>DCTable3[[#This Row],[Ramp]]*DCTable3[[#This Row],[Baseline Hrs]]</f>
        <v>798.60252806941367</v>
      </c>
      <c r="H138" s="12">
        <f>DCTable3[[#This Row],[Hours Saved]]*25.23</f>
        <v>20148.741783191308</v>
      </c>
      <c r="I138" s="12">
        <f>DCTable3[[#This Row],[Dollar Impact]]*1.3273</f>
        <v>26743.424968829822</v>
      </c>
      <c r="J138" s="6" t="s">
        <v>19</v>
      </c>
    </row>
    <row r="139" spans="1:13" x14ac:dyDescent="0.25">
      <c r="A139" s="6" t="s">
        <v>26</v>
      </c>
      <c r="B139" s="6">
        <v>5250</v>
      </c>
      <c r="C139" s="6" t="s">
        <v>40</v>
      </c>
      <c r="D139" s="6">
        <v>202606</v>
      </c>
      <c r="E139" s="10">
        <v>1.5890801852281731E-2</v>
      </c>
      <c r="F139" s="11">
        <v>60951.571263514728</v>
      </c>
      <c r="G139" s="11">
        <f>DCTable3[[#This Row],[Ramp]]*DCTable3[[#This Row],[Baseline Hrs]]</f>
        <v>968.56934153374175</v>
      </c>
      <c r="H139" s="12">
        <f>DCTable3[[#This Row],[Hours Saved]]*25.23</f>
        <v>24437.004486896305</v>
      </c>
      <c r="I139" s="12">
        <f>DCTable3[[#This Row],[Dollar Impact]]*1.3273</f>
        <v>32435.236055457462</v>
      </c>
      <c r="J139" s="6" t="s">
        <v>19</v>
      </c>
    </row>
    <row r="140" spans="1:13" x14ac:dyDescent="0.25">
      <c r="A140" s="6" t="s">
        <v>26</v>
      </c>
      <c r="B140" s="6">
        <v>5250</v>
      </c>
      <c r="C140" s="6" t="s">
        <v>40</v>
      </c>
      <c r="D140" s="6">
        <v>202607</v>
      </c>
      <c r="E140" s="10">
        <v>1.5890801852281731E-2</v>
      </c>
      <c r="F140" s="11">
        <v>43925.657913040835</v>
      </c>
      <c r="G140" s="11">
        <f>DCTable3[[#This Row],[Ramp]]*DCTable3[[#This Row],[Baseline Hrs]]</f>
        <v>698.01392612724294</v>
      </c>
      <c r="H140" s="12">
        <f>DCTable3[[#This Row],[Hours Saved]]*25.23</f>
        <v>17610.891356190339</v>
      </c>
      <c r="I140" s="12">
        <f>DCTable3[[#This Row],[Dollar Impact]]*1.3273</f>
        <v>23374.936097071437</v>
      </c>
      <c r="J140" s="6" t="s">
        <v>19</v>
      </c>
    </row>
    <row r="141" spans="1:13" x14ac:dyDescent="0.25">
      <c r="A141" s="6" t="s">
        <v>26</v>
      </c>
      <c r="B141" s="6">
        <v>5250</v>
      </c>
      <c r="C141" s="6" t="s">
        <v>40</v>
      </c>
      <c r="D141" s="6">
        <v>202608</v>
      </c>
      <c r="E141" s="10">
        <v>1.5890801852281731E-2</v>
      </c>
      <c r="F141" s="11">
        <v>48175.837293238423</v>
      </c>
      <c r="G141" s="11">
        <f>DCTable3[[#This Row],[Ramp]]*DCTable3[[#This Row],[Baseline Hrs]]</f>
        <v>765.55268449461641</v>
      </c>
      <c r="H141" s="12">
        <f>DCTable3[[#This Row],[Hours Saved]]*25.23</f>
        <v>19314.894229799171</v>
      </c>
      <c r="I141" s="12">
        <f>DCTable3[[#This Row],[Dollar Impact]]*1.3273</f>
        <v>25636.659111212437</v>
      </c>
      <c r="J141" s="6" t="s">
        <v>19</v>
      </c>
    </row>
    <row r="142" spans="1:13" x14ac:dyDescent="0.25">
      <c r="A142" s="6" t="s">
        <v>26</v>
      </c>
      <c r="B142" s="6">
        <v>5250</v>
      </c>
      <c r="C142" s="6" t="s">
        <v>40</v>
      </c>
      <c r="D142" s="6">
        <v>202609</v>
      </c>
      <c r="E142" s="10">
        <v>1.5890801852281731E-2</v>
      </c>
      <c r="F142" s="11">
        <v>52787.877016860606</v>
      </c>
      <c r="G142" s="11">
        <f>DCTable3[[#This Row],[Ramp]]*DCTable3[[#This Row],[Baseline Hrs]]</f>
        <v>838.84169387754878</v>
      </c>
      <c r="H142" s="12">
        <f>DCTable3[[#This Row],[Hours Saved]]*25.23</f>
        <v>21163.975936530554</v>
      </c>
      <c r="I142" s="12">
        <f>DCTable3[[#This Row],[Dollar Impact]]*1.3273</f>
        <v>28090.945260557004</v>
      </c>
      <c r="J142" s="6" t="s">
        <v>19</v>
      </c>
    </row>
    <row r="143" spans="1:13" x14ac:dyDescent="0.25">
      <c r="A143" s="6" t="s">
        <v>26</v>
      </c>
      <c r="B143" s="6">
        <v>5250</v>
      </c>
      <c r="C143" s="6" t="s">
        <v>40</v>
      </c>
      <c r="D143" s="6">
        <v>202610</v>
      </c>
      <c r="E143" s="10">
        <v>1.5890801852281731E-2</v>
      </c>
      <c r="F143" s="11">
        <v>37839.354402905126</v>
      </c>
      <c r="G143" s="11">
        <f>DCTable3[[#This Row],[Ramp]]*DCTable3[[#This Row],[Baseline Hrs]]</f>
        <v>601.29768303482967</v>
      </c>
      <c r="H143" s="12">
        <f>DCTable3[[#This Row],[Hours Saved]]*25.23</f>
        <v>15170.740542968753</v>
      </c>
      <c r="I143" s="12">
        <f>DCTable3[[#This Row],[Dollar Impact]]*1.3273</f>
        <v>20136.123922682425</v>
      </c>
      <c r="J143" s="6" t="s">
        <v>19</v>
      </c>
    </row>
    <row r="144" spans="1:13" x14ac:dyDescent="0.25">
      <c r="A144" s="6" t="s">
        <v>26</v>
      </c>
      <c r="B144" s="6">
        <v>5250</v>
      </c>
      <c r="C144" s="6" t="s">
        <v>40</v>
      </c>
      <c r="D144" s="6">
        <v>202611</v>
      </c>
      <c r="E144" s="10">
        <v>1.5890801852281731E-2</v>
      </c>
      <c r="F144" s="11">
        <v>41714.169465444596</v>
      </c>
      <c r="G144" s="11">
        <f>DCTable3[[#This Row],[Ramp]]*DCTable3[[#This Row],[Baseline Hrs]]</f>
        <v>662.87160140788103</v>
      </c>
      <c r="H144" s="12">
        <f>DCTable3[[#This Row],[Hours Saved]]*25.23</f>
        <v>16724.250503520838</v>
      </c>
      <c r="I144" s="12">
        <f>DCTable3[[#This Row],[Dollar Impact]]*1.3273</f>
        <v>22198.097693323205</v>
      </c>
      <c r="J144" s="6" t="s">
        <v>19</v>
      </c>
    </row>
    <row r="145" spans="1:10" x14ac:dyDescent="0.25">
      <c r="A145" s="6" t="s">
        <v>26</v>
      </c>
      <c r="B145" s="6">
        <v>5250</v>
      </c>
      <c r="C145" s="6" t="s">
        <v>40</v>
      </c>
      <c r="D145" s="6">
        <v>202612</v>
      </c>
      <c r="E145" s="10">
        <v>1.5890801852281731E-2</v>
      </c>
      <c r="F145" s="11">
        <v>52824.789031807159</v>
      </c>
      <c r="G145" s="11">
        <f>DCTable3[[#This Row],[Ramp]]*DCTable3[[#This Row],[Baseline Hrs]]</f>
        <v>839.42825539303283</v>
      </c>
      <c r="H145" s="12">
        <f>DCTable3[[#This Row],[Hours Saved]]*25.23</f>
        <v>21178.774883566217</v>
      </c>
      <c r="I145" s="12">
        <f>DCTable3[[#This Row],[Dollar Impact]]*1.3273</f>
        <v>28110.587902957439</v>
      </c>
      <c r="J145" s="6" t="s">
        <v>19</v>
      </c>
    </row>
    <row r="146" spans="1:10" x14ac:dyDescent="0.25">
      <c r="A146" s="6" t="s">
        <v>28</v>
      </c>
      <c r="B146" s="6">
        <v>5639</v>
      </c>
      <c r="C146" s="6" t="s">
        <v>41</v>
      </c>
      <c r="D146" s="6">
        <v>202601</v>
      </c>
      <c r="E146" s="10">
        <v>1.5917559600936302E-2</v>
      </c>
      <c r="F146" s="11">
        <v>32480.571357453871</v>
      </c>
      <c r="G146" s="11">
        <f>DCTable3[[#This Row],[Ramp]]*DCTable3[[#This Row],[Baseline Hrs]]</f>
        <v>517.01143045473657</v>
      </c>
      <c r="H146" s="12">
        <f>DCTable3[[#This Row],[Hours Saved]]*25.23</f>
        <v>13044.198390373003</v>
      </c>
      <c r="I146" s="12">
        <f>DCTable3[[#This Row],[Dollar Impact]]*1.3273</f>
        <v>17313.564523542085</v>
      </c>
      <c r="J146" s="6" t="s">
        <v>19</v>
      </c>
    </row>
    <row r="147" spans="1:10" x14ac:dyDescent="0.25">
      <c r="A147" s="6" t="s">
        <v>28</v>
      </c>
      <c r="B147" s="6">
        <v>5639</v>
      </c>
      <c r="C147" s="6" t="s">
        <v>41</v>
      </c>
      <c r="D147" s="6">
        <v>202602</v>
      </c>
      <c r="E147" s="10">
        <v>1.5917559600936302E-2</v>
      </c>
      <c r="F147" s="11">
        <v>33571.555359026366</v>
      </c>
      <c r="G147" s="11">
        <f>DCTable3[[#This Row],[Ramp]]*DCTable3[[#This Row],[Baseline Hrs]]</f>
        <v>534.37723332343467</v>
      </c>
      <c r="H147" s="12">
        <f>DCTable3[[#This Row],[Hours Saved]]*25.23</f>
        <v>13482.337596750256</v>
      </c>
      <c r="I147" s="12">
        <f>DCTable3[[#This Row],[Dollar Impact]]*1.3273</f>
        <v>17895.106692166613</v>
      </c>
      <c r="J147" s="6" t="s">
        <v>19</v>
      </c>
    </row>
    <row r="148" spans="1:10" x14ac:dyDescent="0.25">
      <c r="A148" s="6" t="s">
        <v>28</v>
      </c>
      <c r="B148" s="6">
        <v>5639</v>
      </c>
      <c r="C148" s="6" t="s">
        <v>41</v>
      </c>
      <c r="D148" s="6">
        <v>202603</v>
      </c>
      <c r="E148" s="10">
        <v>1.5917559600936302E-2</v>
      </c>
      <c r="F148" s="11">
        <v>43536.048134012832</v>
      </c>
      <c r="G148" s="11">
        <f>DCTable3[[#This Row],[Ramp]]*DCTable3[[#This Row],[Baseline Hrs]]</f>
        <v>692.98764096238096</v>
      </c>
      <c r="H148" s="12">
        <f>DCTable3[[#This Row],[Hours Saved]]*25.23</f>
        <v>17484.078181480872</v>
      </c>
      <c r="I148" s="12">
        <f>DCTable3[[#This Row],[Dollar Impact]]*1.3273</f>
        <v>23206.61697027956</v>
      </c>
      <c r="J148" s="6" t="s">
        <v>19</v>
      </c>
    </row>
    <row r="149" spans="1:10" x14ac:dyDescent="0.25">
      <c r="A149" s="6" t="s">
        <v>28</v>
      </c>
      <c r="B149" s="6">
        <v>5639</v>
      </c>
      <c r="C149" s="6" t="s">
        <v>41</v>
      </c>
      <c r="D149" s="6">
        <v>202604</v>
      </c>
      <c r="E149" s="10">
        <v>1.5917559600936302E-2</v>
      </c>
      <c r="F149" s="11">
        <v>31366.990505018643</v>
      </c>
      <c r="G149" s="11">
        <f>DCTable3[[#This Row],[Ramp]]*DCTable3[[#This Row],[Baseline Hrs]]</f>
        <v>499.28594086563731</v>
      </c>
      <c r="H149" s="12">
        <f>DCTable3[[#This Row],[Hours Saved]]*25.23</f>
        <v>12596.98428804003</v>
      </c>
      <c r="I149" s="12">
        <f>DCTable3[[#This Row],[Dollar Impact]]*1.3273</f>
        <v>16719.977245515533</v>
      </c>
      <c r="J149" s="6" t="s">
        <v>19</v>
      </c>
    </row>
    <row r="150" spans="1:10" x14ac:dyDescent="0.25">
      <c r="A150" s="6" t="s">
        <v>28</v>
      </c>
      <c r="B150" s="6">
        <v>5639</v>
      </c>
      <c r="C150" s="6" t="s">
        <v>41</v>
      </c>
      <c r="D150" s="6">
        <v>202605</v>
      </c>
      <c r="E150" s="10">
        <v>1.5917559600936302E-2</v>
      </c>
      <c r="F150" s="11">
        <v>32118.967431550253</v>
      </c>
      <c r="G150" s="11">
        <f>DCTable3[[#This Row],[Ramp]]*DCTable3[[#This Row],[Baseline Hrs]]</f>
        <v>511.25557841223309</v>
      </c>
      <c r="H150" s="12">
        <f>DCTable3[[#This Row],[Hours Saved]]*25.23</f>
        <v>12898.978243340642</v>
      </c>
      <c r="I150" s="12">
        <f>DCTable3[[#This Row],[Dollar Impact]]*1.3273</f>
        <v>17120.813822386033</v>
      </c>
      <c r="J150" s="6" t="s">
        <v>19</v>
      </c>
    </row>
    <row r="151" spans="1:10" x14ac:dyDescent="0.25">
      <c r="A151" s="6" t="s">
        <v>28</v>
      </c>
      <c r="B151" s="6">
        <v>5639</v>
      </c>
      <c r="C151" s="6" t="s">
        <v>41</v>
      </c>
      <c r="D151" s="6">
        <v>202606</v>
      </c>
      <c r="E151" s="10">
        <v>1.5917559600936302E-2</v>
      </c>
      <c r="F151" s="11">
        <v>40272.935728951867</v>
      </c>
      <c r="G151" s="11">
        <f>DCTable3[[#This Row],[Ramp]]*DCTable3[[#This Row],[Baseline Hrs]]</f>
        <v>641.0468547702684</v>
      </c>
      <c r="H151" s="12">
        <f>DCTable3[[#This Row],[Hours Saved]]*25.23</f>
        <v>16173.612145853873</v>
      </c>
      <c r="I151" s="12">
        <f>DCTable3[[#This Row],[Dollar Impact]]*1.3273</f>
        <v>21467.235401191843</v>
      </c>
      <c r="J151" s="6" t="s">
        <v>19</v>
      </c>
    </row>
    <row r="152" spans="1:10" x14ac:dyDescent="0.25">
      <c r="A152" s="6" t="s">
        <v>28</v>
      </c>
      <c r="B152" s="6">
        <v>5639</v>
      </c>
      <c r="C152" s="6" t="s">
        <v>41</v>
      </c>
      <c r="D152" s="6">
        <v>202607</v>
      </c>
      <c r="E152" s="10">
        <v>1.5917559600936302E-2</v>
      </c>
      <c r="F152" s="11">
        <v>32737.433427735963</v>
      </c>
      <c r="G152" s="11">
        <f>DCTable3[[#This Row],[Ramp]]*DCTable3[[#This Row],[Baseline Hrs]]</f>
        <v>521.10004776767164</v>
      </c>
      <c r="H152" s="12">
        <f>DCTable3[[#This Row],[Hours Saved]]*25.23</f>
        <v>13147.354205178355</v>
      </c>
      <c r="I152" s="12">
        <f>DCTable3[[#This Row],[Dollar Impact]]*1.3273</f>
        <v>17450.48323653323</v>
      </c>
      <c r="J152" s="6" t="s">
        <v>19</v>
      </c>
    </row>
    <row r="153" spans="1:10" x14ac:dyDescent="0.25">
      <c r="A153" s="6" t="s">
        <v>28</v>
      </c>
      <c r="B153" s="6">
        <v>5639</v>
      </c>
      <c r="C153" s="6" t="s">
        <v>41</v>
      </c>
      <c r="D153" s="6">
        <v>202608</v>
      </c>
      <c r="E153" s="10">
        <v>1.5917559600936302E-2</v>
      </c>
      <c r="F153" s="11">
        <v>35022.720652751523</v>
      </c>
      <c r="G153" s="11">
        <f>DCTable3[[#This Row],[Ramp]]*DCTable3[[#This Row],[Baseline Hrs]]</f>
        <v>557.47624337711511</v>
      </c>
      <c r="H153" s="12">
        <f>DCTable3[[#This Row],[Hours Saved]]*25.23</f>
        <v>14065.125620404615</v>
      </c>
      <c r="I153" s="12">
        <f>DCTable3[[#This Row],[Dollar Impact]]*1.3273</f>
        <v>18668.641235963045</v>
      </c>
      <c r="J153" s="6" t="s">
        <v>19</v>
      </c>
    </row>
    <row r="154" spans="1:10" x14ac:dyDescent="0.25">
      <c r="A154" s="6" t="s">
        <v>28</v>
      </c>
      <c r="B154" s="6">
        <v>5639</v>
      </c>
      <c r="C154" s="6" t="s">
        <v>41</v>
      </c>
      <c r="D154" s="6">
        <v>202609</v>
      </c>
      <c r="E154" s="10">
        <v>1.5917559600936302E-2</v>
      </c>
      <c r="F154" s="11">
        <v>39294.055865452428</v>
      </c>
      <c r="G154" s="11">
        <f>DCTable3[[#This Row],[Ramp]]*DCTable3[[#This Row],[Baseline Hrs]]</f>
        <v>625.46547620085971</v>
      </c>
      <c r="H154" s="12">
        <f>DCTable3[[#This Row],[Hours Saved]]*25.23</f>
        <v>15780.493964547692</v>
      </c>
      <c r="I154" s="12">
        <f>DCTable3[[#This Row],[Dollar Impact]]*1.3273</f>
        <v>20945.44963914415</v>
      </c>
      <c r="J154" s="6" t="s">
        <v>19</v>
      </c>
    </row>
    <row r="155" spans="1:10" x14ac:dyDescent="0.25">
      <c r="A155" s="6" t="s">
        <v>28</v>
      </c>
      <c r="B155" s="6">
        <v>5639</v>
      </c>
      <c r="C155" s="6" t="s">
        <v>41</v>
      </c>
      <c r="D155" s="6">
        <v>202610</v>
      </c>
      <c r="E155" s="10">
        <v>1.5917559600936302E-2</v>
      </c>
      <c r="F155" s="11">
        <v>26084.731808892531</v>
      </c>
      <c r="G155" s="11">
        <f>DCTable3[[#This Row],[Ramp]]*DCTable3[[#This Row],[Baseline Hrs]]</f>
        <v>415.20527324248587</v>
      </c>
      <c r="H155" s="12">
        <f>DCTable3[[#This Row],[Hours Saved]]*25.23</f>
        <v>10475.629043907918</v>
      </c>
      <c r="I155" s="12">
        <f>DCTable3[[#This Row],[Dollar Impact]]*1.3273</f>
        <v>13904.302429978979</v>
      </c>
      <c r="J155" s="6" t="s">
        <v>19</v>
      </c>
    </row>
    <row r="156" spans="1:10" x14ac:dyDescent="0.25">
      <c r="A156" s="6" t="s">
        <v>28</v>
      </c>
      <c r="B156" s="6">
        <v>5639</v>
      </c>
      <c r="C156" s="6" t="s">
        <v>41</v>
      </c>
      <c r="D156" s="6">
        <v>202611</v>
      </c>
      <c r="E156" s="10">
        <v>1.5917559600936302E-2</v>
      </c>
      <c r="F156" s="11">
        <v>25426.928856371949</v>
      </c>
      <c r="G156" s="11">
        <f>DCTable3[[#This Row],[Ramp]]*DCTable3[[#This Row],[Baseline Hrs]]</f>
        <v>404.73465554006765</v>
      </c>
      <c r="H156" s="12">
        <f>DCTable3[[#This Row],[Hours Saved]]*25.23</f>
        <v>10211.455359275908</v>
      </c>
      <c r="I156" s="12">
        <f>DCTable3[[#This Row],[Dollar Impact]]*1.3273</f>
        <v>13553.664698366911</v>
      </c>
      <c r="J156" s="6" t="s">
        <v>19</v>
      </c>
    </row>
    <row r="157" spans="1:10" x14ac:dyDescent="0.25">
      <c r="A157" s="6" t="s">
        <v>28</v>
      </c>
      <c r="B157" s="6">
        <v>5639</v>
      </c>
      <c r="C157" s="6" t="s">
        <v>41</v>
      </c>
      <c r="D157" s="6">
        <v>202612</v>
      </c>
      <c r="E157" s="10">
        <v>1.5917559600936302E-2</v>
      </c>
      <c r="F157" s="11">
        <v>36681.861037666284</v>
      </c>
      <c r="G157" s="11">
        <f>DCTable3[[#This Row],[Ramp]]*DCTable3[[#This Row],[Baseline Hrs]]</f>
        <v>583.88570934031623</v>
      </c>
      <c r="H157" s="12">
        <f>DCTable3[[#This Row],[Hours Saved]]*25.23</f>
        <v>14731.436446656178</v>
      </c>
      <c r="I157" s="12">
        <f>DCTable3[[#This Row],[Dollar Impact]]*1.3273</f>
        <v>19553.035595646743</v>
      </c>
      <c r="J157" s="6" t="s">
        <v>19</v>
      </c>
    </row>
    <row r="158" spans="1:10" x14ac:dyDescent="0.25">
      <c r="A158" s="6" t="s">
        <v>28</v>
      </c>
      <c r="B158" s="6">
        <v>5641</v>
      </c>
      <c r="C158" s="6" t="s">
        <v>42</v>
      </c>
      <c r="D158" s="6">
        <v>202601</v>
      </c>
      <c r="E158" s="10">
        <v>1.6991146456443257E-2</v>
      </c>
      <c r="F158" s="11">
        <v>39179.396953383184</v>
      </c>
      <c r="G158" s="11">
        <f>DCTable3[[#This Row],[Ramp]]*DCTable3[[#This Row],[Baseline Hrs]]</f>
        <v>665.70287171006044</v>
      </c>
      <c r="H158" s="12">
        <f>DCTable3[[#This Row],[Hours Saved]]*25.23</f>
        <v>16795.683453244827</v>
      </c>
      <c r="I158" s="12">
        <f>DCTable3[[#This Row],[Dollar Impact]]*1.3273</f>
        <v>22292.910647491855</v>
      </c>
      <c r="J158" s="6" t="s">
        <v>19</v>
      </c>
    </row>
    <row r="159" spans="1:10" x14ac:dyDescent="0.25">
      <c r="A159" s="6" t="s">
        <v>28</v>
      </c>
      <c r="B159" s="6">
        <v>5641</v>
      </c>
      <c r="C159" s="6" t="s">
        <v>42</v>
      </c>
      <c r="D159" s="6">
        <v>202602</v>
      </c>
      <c r="E159" s="10">
        <v>1.6991146456443257E-2</v>
      </c>
      <c r="F159" s="11">
        <v>41541.664036746894</v>
      </c>
      <c r="G159" s="11">
        <f>DCTable3[[#This Row],[Ramp]]*DCTable3[[#This Row],[Baseline Hrs]]</f>
        <v>705.84049769272826</v>
      </c>
      <c r="H159" s="12">
        <f>DCTable3[[#This Row],[Hours Saved]]*25.23</f>
        <v>17808.355756787536</v>
      </c>
      <c r="I159" s="12">
        <f>DCTable3[[#This Row],[Dollar Impact]]*1.3273</f>
        <v>23637.030595984095</v>
      </c>
      <c r="J159" s="6" t="s">
        <v>19</v>
      </c>
    </row>
    <row r="160" spans="1:10" x14ac:dyDescent="0.25">
      <c r="A160" s="6" t="s">
        <v>28</v>
      </c>
      <c r="B160" s="6">
        <v>5641</v>
      </c>
      <c r="C160" s="6" t="s">
        <v>42</v>
      </c>
      <c r="D160" s="6">
        <v>202603</v>
      </c>
      <c r="E160" s="10">
        <v>1.6991146456443257E-2</v>
      </c>
      <c r="F160" s="11">
        <v>53008.286776514222</v>
      </c>
      <c r="G160" s="11">
        <f>DCTable3[[#This Row],[Ramp]]*DCTable3[[#This Row],[Baseline Hrs]]</f>
        <v>900.67156402489752</v>
      </c>
      <c r="H160" s="12">
        <f>DCTable3[[#This Row],[Hours Saved]]*25.23</f>
        <v>22723.943560348165</v>
      </c>
      <c r="I160" s="12">
        <f>DCTable3[[#This Row],[Dollar Impact]]*1.3273</f>
        <v>30161.490287650118</v>
      </c>
      <c r="J160" s="6" t="s">
        <v>19</v>
      </c>
    </row>
    <row r="161" spans="1:10" x14ac:dyDescent="0.25">
      <c r="A161" s="6" t="s">
        <v>28</v>
      </c>
      <c r="B161" s="6">
        <v>5641</v>
      </c>
      <c r="C161" s="6" t="s">
        <v>42</v>
      </c>
      <c r="D161" s="6">
        <v>202604</v>
      </c>
      <c r="E161" s="10">
        <v>1.6991146456443257E-2</v>
      </c>
      <c r="F161" s="11">
        <v>39133.095323046771</v>
      </c>
      <c r="G161" s="11">
        <f>DCTable3[[#This Row],[Ramp]]*DCTable3[[#This Row],[Baseline Hrs]]</f>
        <v>664.91615392784229</v>
      </c>
      <c r="H161" s="12">
        <f>DCTable3[[#This Row],[Hours Saved]]*25.23</f>
        <v>16775.834563599463</v>
      </c>
      <c r="I161" s="12">
        <f>DCTable3[[#This Row],[Dollar Impact]]*1.3273</f>
        <v>22266.565216265564</v>
      </c>
      <c r="J161" s="6" t="s">
        <v>19</v>
      </c>
    </row>
    <row r="162" spans="1:10" x14ac:dyDescent="0.25">
      <c r="A162" s="6" t="s">
        <v>28</v>
      </c>
      <c r="B162" s="6">
        <v>5641</v>
      </c>
      <c r="C162" s="6" t="s">
        <v>42</v>
      </c>
      <c r="D162" s="6">
        <v>202605</v>
      </c>
      <c r="E162" s="10">
        <v>1.6991146456443257E-2</v>
      </c>
      <c r="F162" s="11">
        <v>40269.864481641976</v>
      </c>
      <c r="G162" s="11">
        <f>DCTable3[[#This Row],[Ramp]]*DCTable3[[#This Row],[Baseline Hrs]]</f>
        <v>684.2311651887012</v>
      </c>
      <c r="H162" s="12">
        <f>DCTable3[[#This Row],[Hours Saved]]*25.23</f>
        <v>17263.152297710931</v>
      </c>
      <c r="I162" s="12">
        <f>DCTable3[[#This Row],[Dollar Impact]]*1.3273</f>
        <v>22913.382044751717</v>
      </c>
      <c r="J162" s="6" t="s">
        <v>19</v>
      </c>
    </row>
    <row r="163" spans="1:10" x14ac:dyDescent="0.25">
      <c r="A163" s="6" t="s">
        <v>28</v>
      </c>
      <c r="B163" s="6">
        <v>5641</v>
      </c>
      <c r="C163" s="6" t="s">
        <v>42</v>
      </c>
      <c r="D163" s="6">
        <v>202606</v>
      </c>
      <c r="E163" s="10">
        <v>1.6991146456443257E-2</v>
      </c>
      <c r="F163" s="11">
        <v>49651.991397644262</v>
      </c>
      <c r="G163" s="11">
        <f>DCTable3[[#This Row],[Ramp]]*DCTable3[[#This Row],[Baseline Hrs]]</f>
        <v>843.6442576914344</v>
      </c>
      <c r="H163" s="12">
        <f>DCTable3[[#This Row],[Hours Saved]]*25.23</f>
        <v>21285.144621554889</v>
      </c>
      <c r="I163" s="12">
        <f>DCTable3[[#This Row],[Dollar Impact]]*1.3273</f>
        <v>28251.772456189803</v>
      </c>
      <c r="J163" s="6" t="s">
        <v>19</v>
      </c>
    </row>
    <row r="164" spans="1:10" x14ac:dyDescent="0.25">
      <c r="A164" s="6" t="s">
        <v>28</v>
      </c>
      <c r="B164" s="6">
        <v>5641</v>
      </c>
      <c r="C164" s="6" t="s">
        <v>42</v>
      </c>
      <c r="D164" s="6">
        <v>202607</v>
      </c>
      <c r="E164" s="10">
        <v>1.6991146456443257E-2</v>
      </c>
      <c r="F164" s="11">
        <v>39462.007685297671</v>
      </c>
      <c r="G164" s="11">
        <f>DCTable3[[#This Row],[Ramp]]*DCTable3[[#This Row],[Baseline Hrs]]</f>
        <v>670.50475204618203</v>
      </c>
      <c r="H164" s="12">
        <f>DCTable3[[#This Row],[Hours Saved]]*25.23</f>
        <v>16916.834894125172</v>
      </c>
      <c r="I164" s="12">
        <f>DCTable3[[#This Row],[Dollar Impact]]*1.3273</f>
        <v>22453.71495497234</v>
      </c>
      <c r="J164" s="6" t="s">
        <v>19</v>
      </c>
    </row>
    <row r="165" spans="1:10" x14ac:dyDescent="0.25">
      <c r="A165" s="6" t="s">
        <v>28</v>
      </c>
      <c r="B165" s="6">
        <v>5641</v>
      </c>
      <c r="C165" s="6" t="s">
        <v>42</v>
      </c>
      <c r="D165" s="6">
        <v>202608</v>
      </c>
      <c r="E165" s="10">
        <v>1.6991146456443257E-2</v>
      </c>
      <c r="F165" s="11">
        <v>40810.786548018601</v>
      </c>
      <c r="G165" s="11">
        <f>DCTable3[[#This Row],[Ramp]]*DCTable3[[#This Row],[Baseline Hrs]]</f>
        <v>693.4220512400284</v>
      </c>
      <c r="H165" s="12">
        <f>DCTable3[[#This Row],[Hours Saved]]*25.23</f>
        <v>17495.038352785916</v>
      </c>
      <c r="I165" s="12">
        <f>DCTable3[[#This Row],[Dollar Impact]]*1.3273</f>
        <v>23221.164405652744</v>
      </c>
      <c r="J165" s="6" t="s">
        <v>19</v>
      </c>
    </row>
    <row r="166" spans="1:10" x14ac:dyDescent="0.25">
      <c r="A166" s="6" t="s">
        <v>28</v>
      </c>
      <c r="B166" s="6">
        <v>5641</v>
      </c>
      <c r="C166" s="6" t="s">
        <v>42</v>
      </c>
      <c r="D166" s="6">
        <v>202609</v>
      </c>
      <c r="E166" s="10">
        <v>1.6991146456443257E-2</v>
      </c>
      <c r="F166" s="11">
        <v>46519.592534729956</v>
      </c>
      <c r="G166" s="11">
        <f>DCTable3[[#This Row],[Ramp]]*DCTable3[[#This Row],[Baseline Hrs]]</f>
        <v>790.42120985166105</v>
      </c>
      <c r="H166" s="12">
        <f>DCTable3[[#This Row],[Hours Saved]]*25.23</f>
        <v>19942.327124557407</v>
      </c>
      <c r="I166" s="12">
        <f>DCTable3[[#This Row],[Dollar Impact]]*1.3273</f>
        <v>26469.450792425047</v>
      </c>
      <c r="J166" s="6" t="s">
        <v>19</v>
      </c>
    </row>
    <row r="167" spans="1:10" x14ac:dyDescent="0.25">
      <c r="A167" s="6" t="s">
        <v>28</v>
      </c>
      <c r="B167" s="6">
        <v>5641</v>
      </c>
      <c r="C167" s="6" t="s">
        <v>42</v>
      </c>
      <c r="D167" s="6">
        <v>202610</v>
      </c>
      <c r="E167" s="10">
        <v>1.6991146456443257E-2</v>
      </c>
      <c r="F167" s="11">
        <v>33225.453429555142</v>
      </c>
      <c r="G167" s="11">
        <f>DCTable3[[#This Row],[Ramp]]*DCTable3[[#This Row],[Baseline Hrs]]</f>
        <v>564.53854530330625</v>
      </c>
      <c r="H167" s="12">
        <f>DCTable3[[#This Row],[Hours Saved]]*25.23</f>
        <v>14243.307498002418</v>
      </c>
      <c r="I167" s="12">
        <f>DCTable3[[#This Row],[Dollar Impact]]*1.3273</f>
        <v>18905.142042098607</v>
      </c>
      <c r="J167" s="6" t="s">
        <v>19</v>
      </c>
    </row>
    <row r="168" spans="1:10" x14ac:dyDescent="0.25">
      <c r="A168" s="6" t="s">
        <v>28</v>
      </c>
      <c r="B168" s="6">
        <v>5641</v>
      </c>
      <c r="C168" s="6" t="s">
        <v>42</v>
      </c>
      <c r="D168" s="6">
        <v>202611</v>
      </c>
      <c r="E168" s="10">
        <v>1.6991146456443257E-2</v>
      </c>
      <c r="F168" s="11">
        <v>34469.221310755478</v>
      </c>
      <c r="G168" s="11">
        <f>DCTable3[[#This Row],[Ramp]]*DCTable3[[#This Row],[Baseline Hrs]]</f>
        <v>585.6715875306013</v>
      </c>
      <c r="H168" s="12">
        <f>DCTable3[[#This Row],[Hours Saved]]*25.23</f>
        <v>14776.49415339707</v>
      </c>
      <c r="I168" s="12">
        <f>DCTable3[[#This Row],[Dollar Impact]]*1.3273</f>
        <v>19612.840689803932</v>
      </c>
      <c r="J168" s="6" t="s">
        <v>19</v>
      </c>
    </row>
    <row r="169" spans="1:10" x14ac:dyDescent="0.25">
      <c r="A169" s="6" t="s">
        <v>28</v>
      </c>
      <c r="B169" s="6">
        <v>5641</v>
      </c>
      <c r="C169" s="6" t="s">
        <v>42</v>
      </c>
      <c r="D169" s="6">
        <v>202612</v>
      </c>
      <c r="E169" s="10">
        <v>1.6991146456443257E-2</v>
      </c>
      <c r="F169" s="11">
        <v>46985.716182566364</v>
      </c>
      <c r="G169" s="11">
        <f>DCTable3[[#This Row],[Ramp]]*DCTable3[[#This Row],[Baseline Hrs]]</f>
        <v>798.3411850188611</v>
      </c>
      <c r="H169" s="12">
        <f>DCTable3[[#This Row],[Hours Saved]]*25.23</f>
        <v>20142.148098025868</v>
      </c>
      <c r="I169" s="12">
        <f>DCTable3[[#This Row],[Dollar Impact]]*1.3273</f>
        <v>26734.673170509734</v>
      </c>
      <c r="J169" s="6" t="s">
        <v>19</v>
      </c>
    </row>
    <row r="170" spans="1:10" x14ac:dyDescent="0.25">
      <c r="A170" s="6" t="s">
        <v>28</v>
      </c>
      <c r="B170" s="6">
        <v>5642</v>
      </c>
      <c r="C170" s="6" t="s">
        <v>43</v>
      </c>
      <c r="D170" s="6">
        <v>202601</v>
      </c>
      <c r="E170" s="10">
        <v>1.7535058906881264E-2</v>
      </c>
      <c r="F170" s="11">
        <v>48124.591815545871</v>
      </c>
      <c r="G170" s="11">
        <f>DCTable3[[#This Row],[Ramp]]*DCTable3[[#This Row],[Baseline Hrs]]</f>
        <v>843.86755235521275</v>
      </c>
      <c r="H170" s="12">
        <f>DCTable3[[#This Row],[Hours Saved]]*25.23</f>
        <v>21290.778345922019</v>
      </c>
      <c r="I170" s="12">
        <f>DCTable3[[#This Row],[Dollar Impact]]*1.3273</f>
        <v>28259.250098542296</v>
      </c>
      <c r="J170" s="6" t="s">
        <v>19</v>
      </c>
    </row>
    <row r="171" spans="1:10" x14ac:dyDescent="0.25">
      <c r="A171" s="6" t="s">
        <v>28</v>
      </c>
      <c r="B171" s="6">
        <v>5642</v>
      </c>
      <c r="C171" s="6" t="s">
        <v>43</v>
      </c>
      <c r="D171" s="6">
        <v>202602</v>
      </c>
      <c r="E171" s="10">
        <v>1.7535058906881264E-2</v>
      </c>
      <c r="F171" s="11">
        <v>47263.939164798241</v>
      </c>
      <c r="G171" s="11">
        <f>DCTable3[[#This Row],[Ramp]]*DCTable3[[#This Row],[Baseline Hrs]]</f>
        <v>828.77595742598965</v>
      </c>
      <c r="H171" s="12">
        <f>DCTable3[[#This Row],[Hours Saved]]*25.23</f>
        <v>20910.017405857718</v>
      </c>
      <c r="I171" s="12">
        <f>DCTable3[[#This Row],[Dollar Impact]]*1.3273</f>
        <v>27753.866102794946</v>
      </c>
      <c r="J171" s="6" t="s">
        <v>19</v>
      </c>
    </row>
    <row r="172" spans="1:10" x14ac:dyDescent="0.25">
      <c r="A172" s="6" t="s">
        <v>28</v>
      </c>
      <c r="B172" s="6">
        <v>5642</v>
      </c>
      <c r="C172" s="6" t="s">
        <v>43</v>
      </c>
      <c r="D172" s="6">
        <v>202603</v>
      </c>
      <c r="E172" s="10">
        <v>1.7535058906881264E-2</v>
      </c>
      <c r="F172" s="11">
        <v>59427.008378187267</v>
      </c>
      <c r="G172" s="11">
        <f>DCTable3[[#This Row],[Ramp]]*DCTable3[[#This Row],[Baseline Hrs]]</f>
        <v>1042.05609257124</v>
      </c>
      <c r="H172" s="12">
        <f>DCTable3[[#This Row],[Hours Saved]]*25.23</f>
        <v>26291.075215572386</v>
      </c>
      <c r="I172" s="12">
        <f>DCTable3[[#This Row],[Dollar Impact]]*1.3273</f>
        <v>34896.144133629226</v>
      </c>
      <c r="J172" s="6" t="s">
        <v>19</v>
      </c>
    </row>
    <row r="173" spans="1:10" x14ac:dyDescent="0.25">
      <c r="A173" s="6" t="s">
        <v>28</v>
      </c>
      <c r="B173" s="6">
        <v>5642</v>
      </c>
      <c r="C173" s="6" t="s">
        <v>43</v>
      </c>
      <c r="D173" s="6">
        <v>202604</v>
      </c>
      <c r="E173" s="10">
        <v>1.7535058906881264E-2</v>
      </c>
      <c r="F173" s="11">
        <v>41980.857050087347</v>
      </c>
      <c r="G173" s="11">
        <f>DCTable3[[#This Row],[Ramp]]*DCTable3[[#This Row],[Baseline Hrs]]</f>
        <v>736.13680133464322</v>
      </c>
      <c r="H173" s="12">
        <f>DCTable3[[#This Row],[Hours Saved]]*25.23</f>
        <v>18572.731497673049</v>
      </c>
      <c r="I173" s="12">
        <f>DCTable3[[#This Row],[Dollar Impact]]*1.3273</f>
        <v>24651.586516861436</v>
      </c>
      <c r="J173" s="6" t="s">
        <v>19</v>
      </c>
    </row>
    <row r="174" spans="1:10" x14ac:dyDescent="0.25">
      <c r="A174" s="6" t="s">
        <v>28</v>
      </c>
      <c r="B174" s="6">
        <v>5642</v>
      </c>
      <c r="C174" s="6" t="s">
        <v>43</v>
      </c>
      <c r="D174" s="6">
        <v>202605</v>
      </c>
      <c r="E174" s="10">
        <v>1.7535058906881264E-2</v>
      </c>
      <c r="F174" s="11">
        <v>42061.588988273747</v>
      </c>
      <c r="G174" s="11">
        <f>DCTable3[[#This Row],[Ramp]]*DCTable3[[#This Row],[Baseline Hrs]]</f>
        <v>737.5524406264085</v>
      </c>
      <c r="H174" s="12">
        <f>DCTable3[[#This Row],[Hours Saved]]*25.23</f>
        <v>18608.448077004286</v>
      </c>
      <c r="I174" s="12">
        <f>DCTable3[[#This Row],[Dollar Impact]]*1.3273</f>
        <v>24698.993132607789</v>
      </c>
      <c r="J174" s="6" t="s">
        <v>19</v>
      </c>
    </row>
    <row r="175" spans="1:10" x14ac:dyDescent="0.25">
      <c r="A175" s="6" t="s">
        <v>28</v>
      </c>
      <c r="B175" s="6">
        <v>5642</v>
      </c>
      <c r="C175" s="6" t="s">
        <v>43</v>
      </c>
      <c r="D175" s="6">
        <v>202606</v>
      </c>
      <c r="E175" s="10">
        <v>1.7535058906881264E-2</v>
      </c>
      <c r="F175" s="11">
        <v>53600.716604319336</v>
      </c>
      <c r="G175" s="11">
        <f>DCTable3[[#This Row],[Ramp]]*DCTable3[[#This Row],[Baseline Hrs]]</f>
        <v>939.89172310778827</v>
      </c>
      <c r="H175" s="12">
        <f>DCTable3[[#This Row],[Hours Saved]]*25.23</f>
        <v>23713.468174009497</v>
      </c>
      <c r="I175" s="12">
        <f>DCTable3[[#This Row],[Dollar Impact]]*1.3273</f>
        <v>31474.886307362802</v>
      </c>
      <c r="J175" s="6" t="s">
        <v>19</v>
      </c>
    </row>
    <row r="176" spans="1:10" x14ac:dyDescent="0.25">
      <c r="A176" s="6" t="s">
        <v>28</v>
      </c>
      <c r="B176" s="6">
        <v>5642</v>
      </c>
      <c r="C176" s="6" t="s">
        <v>43</v>
      </c>
      <c r="D176" s="6">
        <v>202607</v>
      </c>
      <c r="E176" s="10">
        <v>1.7535058906881264E-2</v>
      </c>
      <c r="F176" s="11">
        <v>43750.572870951466</v>
      </c>
      <c r="G176" s="11">
        <f>DCTable3[[#This Row],[Ramp]]*DCTable3[[#This Row],[Baseline Hrs]]</f>
        <v>767.16887250193531</v>
      </c>
      <c r="H176" s="12">
        <f>DCTable3[[#This Row],[Hours Saved]]*25.23</f>
        <v>19355.670653223828</v>
      </c>
      <c r="I176" s="12">
        <f>DCTable3[[#This Row],[Dollar Impact]]*1.3273</f>
        <v>25690.781658023985</v>
      </c>
      <c r="J176" s="6" t="s">
        <v>19</v>
      </c>
    </row>
    <row r="177" spans="1:10" x14ac:dyDescent="0.25">
      <c r="A177" s="6" t="s">
        <v>28</v>
      </c>
      <c r="B177" s="6">
        <v>5642</v>
      </c>
      <c r="C177" s="6" t="s">
        <v>43</v>
      </c>
      <c r="D177" s="6">
        <v>202608</v>
      </c>
      <c r="E177" s="10">
        <v>1.7535058906881264E-2</v>
      </c>
      <c r="F177" s="11">
        <v>45218.956666745078</v>
      </c>
      <c r="G177" s="11">
        <f>DCTable3[[#This Row],[Ramp]]*DCTable3[[#This Row],[Baseline Hrs]]</f>
        <v>792.91706885908616</v>
      </c>
      <c r="H177" s="12">
        <f>DCTable3[[#This Row],[Hours Saved]]*25.23</f>
        <v>20005.297647314743</v>
      </c>
      <c r="I177" s="12">
        <f>DCTable3[[#This Row],[Dollar Impact]]*1.3273</f>
        <v>26553.031567280857</v>
      </c>
      <c r="J177" s="6" t="s">
        <v>19</v>
      </c>
    </row>
    <row r="178" spans="1:10" x14ac:dyDescent="0.25">
      <c r="A178" s="6" t="s">
        <v>28</v>
      </c>
      <c r="B178" s="6">
        <v>5642</v>
      </c>
      <c r="C178" s="6" t="s">
        <v>43</v>
      </c>
      <c r="D178" s="6">
        <v>202609</v>
      </c>
      <c r="E178" s="10">
        <v>1.7535058906881264E-2</v>
      </c>
      <c r="F178" s="11">
        <v>54270.113503553534</v>
      </c>
      <c r="G178" s="11">
        <f>DCTable3[[#This Row],[Ramp]]*DCTable3[[#This Row],[Baseline Hrs]]</f>
        <v>951.62963716794354</v>
      </c>
      <c r="H178" s="12">
        <f>DCTable3[[#This Row],[Hours Saved]]*25.23</f>
        <v>24009.615745747215</v>
      </c>
      <c r="I178" s="12">
        <f>DCTable3[[#This Row],[Dollar Impact]]*1.3273</f>
        <v>31867.962979330277</v>
      </c>
      <c r="J178" s="6" t="s">
        <v>19</v>
      </c>
    </row>
    <row r="179" spans="1:10" x14ac:dyDescent="0.25">
      <c r="A179" s="6" t="s">
        <v>28</v>
      </c>
      <c r="B179" s="6">
        <v>5642</v>
      </c>
      <c r="C179" s="6" t="s">
        <v>43</v>
      </c>
      <c r="D179" s="6">
        <v>202610</v>
      </c>
      <c r="E179" s="10">
        <v>1.7535058906881264E-2</v>
      </c>
      <c r="F179" s="11">
        <v>38365.112873227765</v>
      </c>
      <c r="G179" s="11">
        <f>DCTable3[[#This Row],[Ramp]]*DCTable3[[#This Row],[Baseline Hrs]]</f>
        <v>672.7345142011975</v>
      </c>
      <c r="H179" s="12">
        <f>DCTable3[[#This Row],[Hours Saved]]*25.23</f>
        <v>16973.091793296215</v>
      </c>
      <c r="I179" s="12">
        <f>DCTable3[[#This Row],[Dollar Impact]]*1.3273</f>
        <v>22528.384737242064</v>
      </c>
      <c r="J179" s="6" t="s">
        <v>19</v>
      </c>
    </row>
    <row r="180" spans="1:10" x14ac:dyDescent="0.25">
      <c r="A180" s="6" t="s">
        <v>28</v>
      </c>
      <c r="B180" s="6">
        <v>5642</v>
      </c>
      <c r="C180" s="6" t="s">
        <v>43</v>
      </c>
      <c r="D180" s="6">
        <v>202611</v>
      </c>
      <c r="E180" s="10">
        <v>1.7535058906881264E-2</v>
      </c>
      <c r="F180" s="11">
        <v>39766.280386907303</v>
      </c>
      <c r="G180" s="11">
        <f>DCTable3[[#This Row],[Ramp]]*DCTable3[[#This Row],[Baseline Hrs]]</f>
        <v>697.30406909197666</v>
      </c>
      <c r="H180" s="12">
        <f>DCTable3[[#This Row],[Hours Saved]]*25.23</f>
        <v>17592.981663190571</v>
      </c>
      <c r="I180" s="12">
        <f>DCTable3[[#This Row],[Dollar Impact]]*1.3273</f>
        <v>23351.164561552843</v>
      </c>
      <c r="J180" s="6" t="s">
        <v>19</v>
      </c>
    </row>
    <row r="181" spans="1:10" x14ac:dyDescent="0.25">
      <c r="A181" s="6" t="s">
        <v>28</v>
      </c>
      <c r="B181" s="6">
        <v>5642</v>
      </c>
      <c r="C181" s="6" t="s">
        <v>43</v>
      </c>
      <c r="D181" s="6">
        <v>202612</v>
      </c>
      <c r="E181" s="10">
        <v>1.7535058906881264E-2</v>
      </c>
      <c r="F181" s="11">
        <v>60383.666093102773</v>
      </c>
      <c r="G181" s="11">
        <f>DCTable3[[#This Row],[Ramp]]*DCTable3[[#This Row],[Baseline Hrs]]</f>
        <v>1058.8311419560059</v>
      </c>
      <c r="H181" s="12">
        <f>DCTable3[[#This Row],[Hours Saved]]*25.23</f>
        <v>26714.309711550031</v>
      </c>
      <c r="I181" s="12">
        <f>DCTable3[[#This Row],[Dollar Impact]]*1.3273</f>
        <v>35457.903280140352</v>
      </c>
      <c r="J181" s="6" t="s">
        <v>19</v>
      </c>
    </row>
    <row r="182" spans="1:10" x14ac:dyDescent="0.25">
      <c r="A182" s="6" t="s">
        <v>28</v>
      </c>
      <c r="B182" s="6">
        <v>5643</v>
      </c>
      <c r="C182" s="6" t="s">
        <v>44</v>
      </c>
      <c r="D182" s="6">
        <v>202601</v>
      </c>
      <c r="E182" s="10">
        <v>1.4538216832864437E-2</v>
      </c>
      <c r="F182" s="11">
        <v>30997.630669810565</v>
      </c>
      <c r="G182" s="11">
        <f>DCTable3[[#This Row],[Ramp]]*DCTable3[[#This Row],[Baseline Hrs]]</f>
        <v>450.65027598275486</v>
      </c>
      <c r="H182" s="12">
        <f>DCTable3[[#This Row],[Hours Saved]]*25.23</f>
        <v>11369.906463044905</v>
      </c>
      <c r="I182" s="12">
        <f>DCTable3[[#This Row],[Dollar Impact]]*1.3273</f>
        <v>15091.276848399501</v>
      </c>
      <c r="J182" s="6" t="s">
        <v>19</v>
      </c>
    </row>
    <row r="183" spans="1:10" x14ac:dyDescent="0.25">
      <c r="A183" s="6" t="s">
        <v>28</v>
      </c>
      <c r="B183" s="6">
        <v>5643</v>
      </c>
      <c r="C183" s="6" t="s">
        <v>44</v>
      </c>
      <c r="D183" s="6">
        <v>202602</v>
      </c>
      <c r="E183" s="10">
        <v>1.4538216832864437E-2</v>
      </c>
      <c r="F183" s="11">
        <v>31507.203407966961</v>
      </c>
      <c r="G183" s="11">
        <f>DCTable3[[#This Row],[Ramp]]*DCTable3[[#This Row],[Baseline Hrs]]</f>
        <v>458.05855494218901</v>
      </c>
      <c r="H183" s="12">
        <f>DCTable3[[#This Row],[Hours Saved]]*25.23</f>
        <v>11556.817341191429</v>
      </c>
      <c r="I183" s="12">
        <f>DCTable3[[#This Row],[Dollar Impact]]*1.3273</f>
        <v>15339.363656963382</v>
      </c>
      <c r="J183" s="6" t="s">
        <v>19</v>
      </c>
    </row>
    <row r="184" spans="1:10" x14ac:dyDescent="0.25">
      <c r="A184" s="6" t="s">
        <v>28</v>
      </c>
      <c r="B184" s="6">
        <v>5643</v>
      </c>
      <c r="C184" s="6" t="s">
        <v>44</v>
      </c>
      <c r="D184" s="6">
        <v>202603</v>
      </c>
      <c r="E184" s="10">
        <v>1.4538216832864437E-2</v>
      </c>
      <c r="F184" s="11">
        <v>38920.369359857505</v>
      </c>
      <c r="G184" s="11">
        <f>DCTable3[[#This Row],[Ramp]]*DCTable3[[#This Row],[Baseline Hrs]]</f>
        <v>565.83276896878169</v>
      </c>
      <c r="H184" s="12">
        <f>DCTable3[[#This Row],[Hours Saved]]*25.23</f>
        <v>14275.960761082362</v>
      </c>
      <c r="I184" s="12">
        <f>DCTable3[[#This Row],[Dollar Impact]]*1.3273</f>
        <v>18948.482718184619</v>
      </c>
      <c r="J184" s="6" t="s">
        <v>19</v>
      </c>
    </row>
    <row r="185" spans="1:10" x14ac:dyDescent="0.25">
      <c r="A185" s="6" t="s">
        <v>28</v>
      </c>
      <c r="B185" s="6">
        <v>5643</v>
      </c>
      <c r="C185" s="6" t="s">
        <v>44</v>
      </c>
      <c r="D185" s="6">
        <v>202604</v>
      </c>
      <c r="E185" s="10">
        <v>1.4538216832864437E-2</v>
      </c>
      <c r="F185" s="11">
        <v>27262.712767751986</v>
      </c>
      <c r="G185" s="11">
        <f>DCTable3[[#This Row],[Ramp]]*DCTable3[[#This Row],[Baseline Hrs]]</f>
        <v>396.35122966968009</v>
      </c>
      <c r="H185" s="12">
        <f>DCTable3[[#This Row],[Hours Saved]]*25.23</f>
        <v>9999.9415245660293</v>
      </c>
      <c r="I185" s="12">
        <f>DCTable3[[#This Row],[Dollar Impact]]*1.3273</f>
        <v>13272.922385556491</v>
      </c>
      <c r="J185" s="6" t="s">
        <v>19</v>
      </c>
    </row>
    <row r="186" spans="1:10" x14ac:dyDescent="0.25">
      <c r="A186" s="6" t="s">
        <v>28</v>
      </c>
      <c r="B186" s="6">
        <v>5643</v>
      </c>
      <c r="C186" s="6" t="s">
        <v>44</v>
      </c>
      <c r="D186" s="6">
        <v>202605</v>
      </c>
      <c r="E186" s="10">
        <v>1.4538216832864437E-2</v>
      </c>
      <c r="F186" s="11">
        <v>26831.572046370402</v>
      </c>
      <c r="G186" s="11">
        <f>DCTable3[[#This Row],[Ramp]]*DCTable3[[#This Row],[Baseline Hrs]]</f>
        <v>390.08321237675705</v>
      </c>
      <c r="H186" s="12">
        <f>DCTable3[[#This Row],[Hours Saved]]*25.23</f>
        <v>9841.7994482655813</v>
      </c>
      <c r="I186" s="12">
        <f>DCTable3[[#This Row],[Dollar Impact]]*1.3273</f>
        <v>13063.020407682905</v>
      </c>
      <c r="J186" s="6" t="s">
        <v>19</v>
      </c>
    </row>
    <row r="187" spans="1:10" x14ac:dyDescent="0.25">
      <c r="A187" s="6" t="s">
        <v>28</v>
      </c>
      <c r="B187" s="6">
        <v>5643</v>
      </c>
      <c r="C187" s="6" t="s">
        <v>44</v>
      </c>
      <c r="D187" s="6">
        <v>202606</v>
      </c>
      <c r="E187" s="10">
        <v>1.4538216832864437E-2</v>
      </c>
      <c r="F187" s="11">
        <v>32920.729305724904</v>
      </c>
      <c r="G187" s="11">
        <f>DCTable3[[#This Row],[Ramp]]*DCTable3[[#This Row],[Baseline Hrs]]</f>
        <v>478.60870094266335</v>
      </c>
      <c r="H187" s="12">
        <f>DCTable3[[#This Row],[Hours Saved]]*25.23</f>
        <v>12075.297524783397</v>
      </c>
      <c r="I187" s="12">
        <f>DCTable3[[#This Row],[Dollar Impact]]*1.3273</f>
        <v>16027.542404645001</v>
      </c>
      <c r="J187" s="6" t="s">
        <v>19</v>
      </c>
    </row>
    <row r="188" spans="1:10" x14ac:dyDescent="0.25">
      <c r="A188" s="6" t="s">
        <v>28</v>
      </c>
      <c r="B188" s="6">
        <v>5643</v>
      </c>
      <c r="C188" s="6" t="s">
        <v>44</v>
      </c>
      <c r="D188" s="6">
        <v>202607</v>
      </c>
      <c r="E188" s="10">
        <v>1.4538216832864437E-2</v>
      </c>
      <c r="F188" s="11">
        <v>26152.98089027602</v>
      </c>
      <c r="G188" s="11">
        <f>DCTable3[[#This Row],[Ramp]]*DCTable3[[#This Row],[Baseline Hrs]]</f>
        <v>380.21770700859275</v>
      </c>
      <c r="H188" s="12">
        <f>DCTable3[[#This Row],[Hours Saved]]*25.23</f>
        <v>9592.892747826796</v>
      </c>
      <c r="I188" s="12">
        <f>DCTable3[[#This Row],[Dollar Impact]]*1.3273</f>
        <v>12732.646544190506</v>
      </c>
      <c r="J188" s="6" t="s">
        <v>19</v>
      </c>
    </row>
    <row r="189" spans="1:10" x14ac:dyDescent="0.25">
      <c r="A189" s="6" t="s">
        <v>28</v>
      </c>
      <c r="B189" s="6">
        <v>5643</v>
      </c>
      <c r="C189" s="6" t="s">
        <v>44</v>
      </c>
      <c r="D189" s="6">
        <v>202608</v>
      </c>
      <c r="E189" s="10">
        <v>1.4538216832864437E-2</v>
      </c>
      <c r="F189" s="11">
        <v>27850.57846428702</v>
      </c>
      <c r="G189" s="11">
        <f>DCTable3[[#This Row],[Ramp]]*DCTable3[[#This Row],[Baseline Hrs]]</f>
        <v>404.89774863450936</v>
      </c>
      <c r="H189" s="12">
        <f>DCTable3[[#This Row],[Hours Saved]]*25.23</f>
        <v>10215.570198048672</v>
      </c>
      <c r="I189" s="12">
        <f>DCTable3[[#This Row],[Dollar Impact]]*1.3273</f>
        <v>13559.126323870001</v>
      </c>
      <c r="J189" s="6" t="s">
        <v>19</v>
      </c>
    </row>
    <row r="190" spans="1:10" x14ac:dyDescent="0.25">
      <c r="A190" s="6" t="s">
        <v>28</v>
      </c>
      <c r="B190" s="6">
        <v>5643</v>
      </c>
      <c r="C190" s="6" t="s">
        <v>44</v>
      </c>
      <c r="D190" s="6">
        <v>202609</v>
      </c>
      <c r="E190" s="10">
        <v>1.4538216832864437E-2</v>
      </c>
      <c r="F190" s="11">
        <v>32896.724989748844</v>
      </c>
      <c r="G190" s="11">
        <f>DCTable3[[#This Row],[Ramp]]*DCTable3[[#This Row],[Baseline Hrs]]</f>
        <v>478.25972099207883</v>
      </c>
      <c r="H190" s="12">
        <f>DCTable3[[#This Row],[Hours Saved]]*25.23</f>
        <v>12066.49276063015</v>
      </c>
      <c r="I190" s="12">
        <f>DCTable3[[#This Row],[Dollar Impact]]*1.3273</f>
        <v>16015.855841184397</v>
      </c>
      <c r="J190" s="6" t="s">
        <v>19</v>
      </c>
    </row>
    <row r="191" spans="1:10" x14ac:dyDescent="0.25">
      <c r="A191" s="6" t="s">
        <v>28</v>
      </c>
      <c r="B191" s="6">
        <v>5643</v>
      </c>
      <c r="C191" s="6" t="s">
        <v>44</v>
      </c>
      <c r="D191" s="6">
        <v>202610</v>
      </c>
      <c r="E191" s="10">
        <v>1.4538216832864437E-2</v>
      </c>
      <c r="F191" s="11">
        <v>22402.691432382348</v>
      </c>
      <c r="G191" s="11">
        <f>DCTable3[[#This Row],[Ramp]]*DCTable3[[#This Row],[Baseline Hrs]]</f>
        <v>325.69518568372894</v>
      </c>
      <c r="H191" s="12">
        <f>DCTable3[[#This Row],[Hours Saved]]*25.23</f>
        <v>8217.2895348004804</v>
      </c>
      <c r="I191" s="12">
        <f>DCTable3[[#This Row],[Dollar Impact]]*1.3273</f>
        <v>10906.808399540678</v>
      </c>
      <c r="J191" s="6" t="s">
        <v>19</v>
      </c>
    </row>
    <row r="192" spans="1:10" x14ac:dyDescent="0.25">
      <c r="A192" s="6" t="s">
        <v>28</v>
      </c>
      <c r="B192" s="6">
        <v>5643</v>
      </c>
      <c r="C192" s="6" t="s">
        <v>44</v>
      </c>
      <c r="D192" s="6">
        <v>202611</v>
      </c>
      <c r="E192" s="10">
        <v>1.4538216832864437E-2</v>
      </c>
      <c r="F192" s="11">
        <v>23481.931253863942</v>
      </c>
      <c r="G192" s="11">
        <f>DCTable3[[#This Row],[Ramp]]*DCTable3[[#This Row],[Baseline Hrs]]</f>
        <v>341.38540822309028</v>
      </c>
      <c r="H192" s="12">
        <f>DCTable3[[#This Row],[Hours Saved]]*25.23</f>
        <v>8613.1538494685683</v>
      </c>
      <c r="I192" s="12">
        <f>DCTable3[[#This Row],[Dollar Impact]]*1.3273</f>
        <v>11432.23910439963</v>
      </c>
      <c r="J192" s="6" t="s">
        <v>19</v>
      </c>
    </row>
    <row r="193" spans="1:12" x14ac:dyDescent="0.25">
      <c r="A193" s="6" t="s">
        <v>28</v>
      </c>
      <c r="B193" s="6">
        <v>5643</v>
      </c>
      <c r="C193" s="6" t="s">
        <v>44</v>
      </c>
      <c r="D193" s="6">
        <v>202612</v>
      </c>
      <c r="E193" s="10">
        <v>1.4538216832864437E-2</v>
      </c>
      <c r="F193" s="11">
        <v>33425.873260769527</v>
      </c>
      <c r="G193" s="11">
        <f>DCTable3[[#This Row],[Ramp]]*DCTable3[[#This Row],[Baseline Hrs]]</f>
        <v>485.95259329291281</v>
      </c>
      <c r="H193" s="12">
        <f>DCTable3[[#This Row],[Hours Saved]]*25.23</f>
        <v>12260.58392878019</v>
      </c>
      <c r="I193" s="12">
        <f>DCTable3[[#This Row],[Dollar Impact]]*1.3273</f>
        <v>16273.473048669945</v>
      </c>
      <c r="J193" s="6" t="s">
        <v>19</v>
      </c>
    </row>
    <row r="194" spans="1:12" x14ac:dyDescent="0.25">
      <c r="A194" s="6" t="s">
        <v>30</v>
      </c>
      <c r="B194" s="6">
        <v>5851</v>
      </c>
      <c r="C194" s="6" t="s">
        <v>45</v>
      </c>
      <c r="D194" s="6">
        <v>202601</v>
      </c>
      <c r="E194" s="10">
        <v>1.9093909029908977E-2</v>
      </c>
      <c r="F194" s="11">
        <v>41781.683088160251</v>
      </c>
      <c r="G194" s="11">
        <f>DCTable3[[#This Row],[Ramp]]*DCTable3[[#This Row],[Baseline Hrs]]</f>
        <v>797.77565600181822</v>
      </c>
      <c r="H194" s="12">
        <f>DCTable3[[#This Row],[Hours Saved]]*25.23</f>
        <v>20127.879800925875</v>
      </c>
      <c r="I194" s="12">
        <f>DCTable3[[#This Row],[Dollar Impact]]*1.3273</f>
        <v>26715.734859768912</v>
      </c>
      <c r="J194" s="6" t="s">
        <v>19</v>
      </c>
    </row>
    <row r="195" spans="1:12" x14ac:dyDescent="0.25">
      <c r="A195" s="6" t="s">
        <v>30</v>
      </c>
      <c r="B195" s="6">
        <v>5851</v>
      </c>
      <c r="C195" s="6" t="s">
        <v>45</v>
      </c>
      <c r="D195" s="6">
        <v>202602</v>
      </c>
      <c r="E195" s="10">
        <v>1.9093909029908977E-2</v>
      </c>
      <c r="F195" s="11">
        <v>43919.912259373508</v>
      </c>
      <c r="G195" s="11">
        <f>DCTable3[[#This Row],[Ramp]]*DCTable3[[#This Row],[Baseline Hrs]]</f>
        <v>838.6028092820618</v>
      </c>
      <c r="H195" s="12">
        <f>DCTable3[[#This Row],[Hours Saved]]*25.23</f>
        <v>21157.94887818642</v>
      </c>
      <c r="I195" s="12">
        <f>DCTable3[[#This Row],[Dollar Impact]]*1.3273</f>
        <v>28082.945546016836</v>
      </c>
      <c r="J195" s="6" t="s">
        <v>19</v>
      </c>
    </row>
    <row r="196" spans="1:12" x14ac:dyDescent="0.25">
      <c r="A196" s="6" t="s">
        <v>30</v>
      </c>
      <c r="B196" s="6">
        <v>5851</v>
      </c>
      <c r="C196" s="6" t="s">
        <v>45</v>
      </c>
      <c r="D196" s="6">
        <v>202603</v>
      </c>
      <c r="E196" s="10">
        <v>1.9093909029908977E-2</v>
      </c>
      <c r="F196" s="11">
        <v>59168.545517540893</v>
      </c>
      <c r="G196" s="11">
        <f>DCTable3[[#This Row],[Ramp]]*DCTable3[[#This Row],[Baseline Hrs]]</f>
        <v>1129.7588255439543</v>
      </c>
      <c r="H196" s="12">
        <f>DCTable3[[#This Row],[Hours Saved]]*25.23</f>
        <v>28503.815168473968</v>
      </c>
      <c r="I196" s="12">
        <f>DCTable3[[#This Row],[Dollar Impact]]*1.3273</f>
        <v>37833.113873115493</v>
      </c>
      <c r="J196" s="6" t="s">
        <v>19</v>
      </c>
    </row>
    <row r="197" spans="1:12" x14ac:dyDescent="0.25">
      <c r="A197" s="6" t="s">
        <v>30</v>
      </c>
      <c r="B197" s="6">
        <v>5851</v>
      </c>
      <c r="C197" s="6" t="s">
        <v>45</v>
      </c>
      <c r="D197" s="6">
        <v>202604</v>
      </c>
      <c r="E197" s="10">
        <v>1.9093909029908977E-2</v>
      </c>
      <c r="F197" s="11">
        <v>43338.099810462969</v>
      </c>
      <c r="G197" s="11">
        <f>DCTable3[[#This Row],[Ramp]]*DCTable3[[#This Row],[Baseline Hrs]]</f>
        <v>827.49373531009542</v>
      </c>
      <c r="H197" s="12">
        <f>DCTable3[[#This Row],[Hours Saved]]*25.23</f>
        <v>20877.666941873707</v>
      </c>
      <c r="I197" s="12">
        <f>DCTable3[[#This Row],[Dollar Impact]]*1.3273</f>
        <v>27710.927331948969</v>
      </c>
      <c r="J197" s="6" t="s">
        <v>19</v>
      </c>
    </row>
    <row r="198" spans="1:12" x14ac:dyDescent="0.25">
      <c r="A198" s="6" t="s">
        <v>30</v>
      </c>
      <c r="B198" s="6">
        <v>5851</v>
      </c>
      <c r="C198" s="6" t="s">
        <v>45</v>
      </c>
      <c r="D198" s="6">
        <v>202605</v>
      </c>
      <c r="E198" s="10">
        <v>1.9093909029908977E-2</v>
      </c>
      <c r="F198" s="11">
        <v>44133.26786041692</v>
      </c>
      <c r="G198" s="11">
        <f>DCTable3[[#This Row],[Ramp]]*DCTable3[[#This Row],[Baseline Hrs]]</f>
        <v>842.67660171940622</v>
      </c>
      <c r="H198" s="12">
        <f>DCTable3[[#This Row],[Hours Saved]]*25.23</f>
        <v>21260.730661380618</v>
      </c>
      <c r="I198" s="12">
        <f>DCTable3[[#This Row],[Dollar Impact]]*1.3273</f>
        <v>28219.367806850492</v>
      </c>
      <c r="J198" s="6" t="s">
        <v>19</v>
      </c>
    </row>
    <row r="199" spans="1:12" x14ac:dyDescent="0.25">
      <c r="A199" s="6" t="s">
        <v>30</v>
      </c>
      <c r="B199" s="6">
        <v>5851</v>
      </c>
      <c r="C199" s="6" t="s">
        <v>45</v>
      </c>
      <c r="D199" s="6">
        <v>202606</v>
      </c>
      <c r="E199" s="10">
        <v>1.9093909029908977E-2</v>
      </c>
      <c r="F199" s="11">
        <v>49766.193935970936</v>
      </c>
      <c r="G199" s="11">
        <f>DCTable3[[#This Row],[Ramp]]*DCTable3[[#This Row],[Baseline Hrs]]</f>
        <v>950.23117977823688</v>
      </c>
      <c r="H199" s="12">
        <f>DCTable3[[#This Row],[Hours Saved]]*25.23</f>
        <v>23974.332665804915</v>
      </c>
      <c r="I199" s="12">
        <f>DCTable3[[#This Row],[Dollar Impact]]*1.3273</f>
        <v>31821.131747322863</v>
      </c>
      <c r="J199" s="6" t="s">
        <v>19</v>
      </c>
    </row>
    <row r="200" spans="1:12" x14ac:dyDescent="0.25">
      <c r="A200" s="6" t="s">
        <v>30</v>
      </c>
      <c r="B200" s="6">
        <v>5851</v>
      </c>
      <c r="C200" s="6" t="s">
        <v>45</v>
      </c>
      <c r="D200" s="6">
        <v>202607</v>
      </c>
      <c r="E200" s="10">
        <v>1.9093909029908977E-2</v>
      </c>
      <c r="F200" s="11">
        <v>41581.916906416358</v>
      </c>
      <c r="G200" s="11">
        <f>DCTable3[[#This Row],[Ramp]]*DCTable3[[#This Row],[Baseline Hrs]]</f>
        <v>793.96133870034805</v>
      </c>
      <c r="H200" s="12">
        <f>DCTable3[[#This Row],[Hours Saved]]*25.23</f>
        <v>20031.64457540978</v>
      </c>
      <c r="I200" s="12">
        <f>DCTable3[[#This Row],[Dollar Impact]]*1.3273</f>
        <v>26588.001844941398</v>
      </c>
      <c r="J200" s="6" t="s">
        <v>19</v>
      </c>
    </row>
    <row r="201" spans="1:12" x14ac:dyDescent="0.25">
      <c r="A201" s="6" t="s">
        <v>30</v>
      </c>
      <c r="B201" s="6">
        <v>5851</v>
      </c>
      <c r="C201" s="6" t="s">
        <v>45</v>
      </c>
      <c r="D201" s="6">
        <v>202608</v>
      </c>
      <c r="E201" s="10">
        <v>1.9093909029908977E-2</v>
      </c>
      <c r="F201" s="11">
        <v>43515.886138231654</v>
      </c>
      <c r="G201" s="11">
        <f>DCTable3[[#This Row],[Ramp]]*DCTable3[[#This Row],[Baseline Hrs]]</f>
        <v>830.88837127927229</v>
      </c>
      <c r="H201" s="12">
        <f>DCTable3[[#This Row],[Hours Saved]]*25.23</f>
        <v>20963.31360737604</v>
      </c>
      <c r="I201" s="12">
        <f>DCTable3[[#This Row],[Dollar Impact]]*1.3273</f>
        <v>27824.606151070217</v>
      </c>
      <c r="J201" s="6" t="s">
        <v>19</v>
      </c>
    </row>
    <row r="202" spans="1:12" x14ac:dyDescent="0.25">
      <c r="A202" s="6" t="s">
        <v>30</v>
      </c>
      <c r="B202" s="6">
        <v>5851</v>
      </c>
      <c r="C202" s="6" t="s">
        <v>45</v>
      </c>
      <c r="D202" s="6">
        <v>202609</v>
      </c>
      <c r="E202" s="10">
        <v>1.9093909029908977E-2</v>
      </c>
      <c r="F202" s="11">
        <v>47636.458049313158</v>
      </c>
      <c r="G202" s="11">
        <f>DCTable3[[#This Row],[Ramp]]*DCTable3[[#This Row],[Baseline Hrs]]</f>
        <v>909.56619650066068</v>
      </c>
      <c r="H202" s="12">
        <f>DCTable3[[#This Row],[Hours Saved]]*25.23</f>
        <v>22948.355137711671</v>
      </c>
      <c r="I202" s="12">
        <f>DCTable3[[#This Row],[Dollar Impact]]*1.3273</f>
        <v>30459.3517742847</v>
      </c>
      <c r="J202" s="6" t="s">
        <v>19</v>
      </c>
    </row>
    <row r="203" spans="1:12" x14ac:dyDescent="0.25">
      <c r="A203" s="6" t="s">
        <v>30</v>
      </c>
      <c r="B203" s="6">
        <v>5851</v>
      </c>
      <c r="C203" s="6" t="s">
        <v>45</v>
      </c>
      <c r="D203" s="6">
        <v>202610</v>
      </c>
      <c r="E203" s="10">
        <v>1.9093909029908977E-2</v>
      </c>
      <c r="F203" s="11">
        <v>34268.322025731832</v>
      </c>
      <c r="G203" s="11">
        <f>DCTable3[[#This Row],[Ramp]]*DCTable3[[#This Row],[Baseline Hrs]]</f>
        <v>654.31622336694977</v>
      </c>
      <c r="H203" s="12">
        <f>DCTable3[[#This Row],[Hours Saved]]*25.23</f>
        <v>16508.398315548144</v>
      </c>
      <c r="I203" s="12">
        <f>DCTable3[[#This Row],[Dollar Impact]]*1.3273</f>
        <v>21911.597084227051</v>
      </c>
      <c r="J203" s="6" t="s">
        <v>19</v>
      </c>
    </row>
    <row r="204" spans="1:12" x14ac:dyDescent="0.25">
      <c r="A204" s="6" t="s">
        <v>30</v>
      </c>
      <c r="B204" s="6">
        <v>5851</v>
      </c>
      <c r="C204" s="6" t="s">
        <v>45</v>
      </c>
      <c r="D204" s="6">
        <v>202611</v>
      </c>
      <c r="E204" s="10">
        <v>1.9093909029908977E-2</v>
      </c>
      <c r="F204" s="11">
        <v>34907.562383926757</v>
      </c>
      <c r="G204" s="11">
        <f>DCTable3[[#This Row],[Ramp]]*DCTable3[[#This Row],[Baseline Hrs]]</f>
        <v>666.52182061457006</v>
      </c>
      <c r="H204" s="12">
        <f>DCTable3[[#This Row],[Hours Saved]]*25.23</f>
        <v>16816.345534105603</v>
      </c>
      <c r="I204" s="12">
        <f>DCTable3[[#This Row],[Dollar Impact]]*1.3273</f>
        <v>22320.335427418366</v>
      </c>
      <c r="J204" s="6" t="s">
        <v>19</v>
      </c>
    </row>
    <row r="205" spans="1:12" x14ac:dyDescent="0.25">
      <c r="A205" s="6" t="s">
        <v>30</v>
      </c>
      <c r="B205" s="6">
        <v>5851</v>
      </c>
      <c r="C205" s="6" t="s">
        <v>45</v>
      </c>
      <c r="D205" s="6">
        <v>202612</v>
      </c>
      <c r="E205" s="10">
        <v>1.9093909029908977E-2</v>
      </c>
      <c r="F205" s="11">
        <v>47440.276380710355</v>
      </c>
      <c r="G205" s="11">
        <f>DCTable3[[#This Row],[Ramp]]*DCTable3[[#This Row],[Baseline Hrs]]</f>
        <v>905.82032156702303</v>
      </c>
      <c r="H205" s="12">
        <f>DCTable3[[#This Row],[Hours Saved]]*25.23</f>
        <v>22853.84671313599</v>
      </c>
      <c r="I205" s="12">
        <f>DCTable3[[#This Row],[Dollar Impact]]*1.3273</f>
        <v>30333.910742345397</v>
      </c>
      <c r="J205" s="6" t="s">
        <v>19</v>
      </c>
      <c r="L205" s="5">
        <f>(SUM(G206:G211)+SUM(G218:G223))*25*1.3273</f>
        <v>366959.10567218286</v>
      </c>
    </row>
    <row r="206" spans="1:12" x14ac:dyDescent="0.25">
      <c r="A206" s="6" t="s">
        <v>30</v>
      </c>
      <c r="B206" s="6">
        <v>5030</v>
      </c>
      <c r="C206" s="6" t="s">
        <v>46</v>
      </c>
      <c r="D206" s="6">
        <v>202601</v>
      </c>
      <c r="E206" s="10">
        <v>2.2466205428040693E-2</v>
      </c>
      <c r="F206" s="11">
        <v>41855.452325787344</v>
      </c>
      <c r="G206" s="11">
        <f>DCTable3[[#This Row],[Ramp]]*DCTable3[[#This Row],[Baseline Hrs]]</f>
        <v>940.3331902347021</v>
      </c>
      <c r="H206" s="12">
        <f>DCTable3[[#This Row],[Hours Saved]]*25.23</f>
        <v>23724.606389621535</v>
      </c>
      <c r="I206" s="12">
        <f>DCTable3[[#This Row],[Dollar Impact]]*1.3273</f>
        <v>31489.67006094466</v>
      </c>
      <c r="J206" s="6" t="s">
        <v>9</v>
      </c>
    </row>
    <row r="207" spans="1:12" x14ac:dyDescent="0.25">
      <c r="A207" s="6" t="s">
        <v>30</v>
      </c>
      <c r="B207" s="6">
        <v>5030</v>
      </c>
      <c r="C207" s="6" t="s">
        <v>46</v>
      </c>
      <c r="D207" s="6">
        <v>202602</v>
      </c>
      <c r="E207" s="10">
        <v>2.2466205428040693E-2</v>
      </c>
      <c r="F207" s="11">
        <v>44840.696574127862</v>
      </c>
      <c r="G207" s="11">
        <f>DCTable3[[#This Row],[Ramp]]*DCTable3[[#This Row],[Baseline Hrs]]</f>
        <v>1007.4003007707971</v>
      </c>
      <c r="H207" s="12">
        <f>DCTable3[[#This Row],[Hours Saved]]*25.23</f>
        <v>25416.709588447211</v>
      </c>
      <c r="I207" s="12">
        <f>DCTable3[[#This Row],[Dollar Impact]]*1.3273</f>
        <v>33735.598636745985</v>
      </c>
      <c r="J207" s="6" t="s">
        <v>9</v>
      </c>
    </row>
    <row r="208" spans="1:12" x14ac:dyDescent="0.25">
      <c r="A208" s="6" t="s">
        <v>30</v>
      </c>
      <c r="B208" s="6">
        <v>5030</v>
      </c>
      <c r="C208" s="6" t="s">
        <v>46</v>
      </c>
      <c r="D208" s="6">
        <v>202603</v>
      </c>
      <c r="E208" s="10">
        <v>2.2466205428040693E-2</v>
      </c>
      <c r="F208" s="11">
        <v>57812.160237854347</v>
      </c>
      <c r="G208" s="11">
        <f>DCTable3[[#This Row],[Ramp]]*DCTable3[[#This Row],[Baseline Hrs]]</f>
        <v>1298.8198681424417</v>
      </c>
      <c r="H208" s="12">
        <f>DCTable3[[#This Row],[Hours Saved]]*25.23</f>
        <v>32769.225273233802</v>
      </c>
      <c r="I208" s="12">
        <f>DCTable3[[#This Row],[Dollar Impact]]*1.3273</f>
        <v>43494.592705163224</v>
      </c>
      <c r="J208" s="6" t="s">
        <v>9</v>
      </c>
    </row>
    <row r="209" spans="1:10" x14ac:dyDescent="0.25">
      <c r="A209" s="6" t="s">
        <v>30</v>
      </c>
      <c r="B209" s="6">
        <v>5030</v>
      </c>
      <c r="C209" s="6" t="s">
        <v>46</v>
      </c>
      <c r="D209" s="6">
        <v>202604</v>
      </c>
      <c r="E209" s="10">
        <v>2.2466205428040693E-2</v>
      </c>
      <c r="F209" s="11">
        <v>41324.893357214838</v>
      </c>
      <c r="G209" s="11">
        <f>DCTable3[[#This Row],[Ramp]]*DCTable3[[#This Row],[Baseline Hrs]]</f>
        <v>928.41354345506272</v>
      </c>
      <c r="H209" s="12">
        <f>DCTable3[[#This Row],[Hours Saved]]*25.23</f>
        <v>23423.873701371234</v>
      </c>
      <c r="I209" s="12">
        <f>DCTable3[[#This Row],[Dollar Impact]]*1.3273</f>
        <v>31090.507563830037</v>
      </c>
      <c r="J209" s="6" t="s">
        <v>9</v>
      </c>
    </row>
    <row r="210" spans="1:10" x14ac:dyDescent="0.25">
      <c r="A210" s="6" t="s">
        <v>30</v>
      </c>
      <c r="B210" s="6">
        <v>5030</v>
      </c>
      <c r="C210" s="6" t="s">
        <v>46</v>
      </c>
      <c r="D210" s="6">
        <v>202605</v>
      </c>
      <c r="E210" s="10">
        <v>2.2466205428040693E-2</v>
      </c>
      <c r="F210" s="11">
        <v>42925.954235646401</v>
      </c>
      <c r="G210" s="11">
        <f>DCTable3[[#This Row],[Ramp]]*DCTable3[[#This Row],[Baseline Hrs]]</f>
        <v>964.38330605270551</v>
      </c>
      <c r="H210" s="12">
        <f>DCTable3[[#This Row],[Hours Saved]]*25.23</f>
        <v>24331.39081170976</v>
      </c>
      <c r="I210" s="12">
        <f>DCTable3[[#This Row],[Dollar Impact]]*1.3273</f>
        <v>32295.055024382364</v>
      </c>
      <c r="J210" s="6" t="s">
        <v>9</v>
      </c>
    </row>
    <row r="211" spans="1:10" x14ac:dyDescent="0.25">
      <c r="A211" s="6" t="s">
        <v>30</v>
      </c>
      <c r="B211" s="6">
        <v>5030</v>
      </c>
      <c r="C211" s="6" t="s">
        <v>46</v>
      </c>
      <c r="D211" s="6">
        <v>202606</v>
      </c>
      <c r="E211" s="10">
        <v>2.2466205428040693E-2</v>
      </c>
      <c r="F211" s="11">
        <v>50582.378367869729</v>
      </c>
      <c r="G211" s="11">
        <f>DCTable3[[#This Row],[Ramp]]*DCTable3[[#This Row],[Baseline Hrs]]</f>
        <v>1136.394103451443</v>
      </c>
      <c r="H211" s="12">
        <f>DCTable3[[#This Row],[Hours Saved]]*25.23</f>
        <v>28671.223230079908</v>
      </c>
      <c r="I211" s="12">
        <f>DCTable3[[#This Row],[Dollar Impact]]*1.3273</f>
        <v>38055.31459328506</v>
      </c>
      <c r="J211" s="6" t="s">
        <v>9</v>
      </c>
    </row>
    <row r="212" spans="1:10" x14ac:dyDescent="0.25">
      <c r="A212" s="6" t="s">
        <v>30</v>
      </c>
      <c r="B212" s="6">
        <v>5030</v>
      </c>
      <c r="C212" s="6" t="s">
        <v>46</v>
      </c>
      <c r="D212" s="6">
        <v>202607</v>
      </c>
      <c r="E212" s="10">
        <v>2.2466205428040693E-2</v>
      </c>
      <c r="F212" s="11">
        <v>41125.461199355435</v>
      </c>
      <c r="G212" s="11">
        <f>DCTable3[[#This Row],[Ramp]]*DCTable3[[#This Row],[Baseline Hrs]]</f>
        <v>923.933059627636</v>
      </c>
      <c r="H212" s="12">
        <f>DCTable3[[#This Row],[Hours Saved]]*25.23</f>
        <v>23310.831094405257</v>
      </c>
      <c r="I212" s="12">
        <f>DCTable3[[#This Row],[Dollar Impact]]*1.3273</f>
        <v>30940.466111604095</v>
      </c>
      <c r="J212" s="6" t="s">
        <v>19</v>
      </c>
    </row>
    <row r="213" spans="1:10" x14ac:dyDescent="0.25">
      <c r="A213" s="6" t="s">
        <v>30</v>
      </c>
      <c r="B213" s="6">
        <v>5030</v>
      </c>
      <c r="C213" s="6" t="s">
        <v>46</v>
      </c>
      <c r="D213" s="6">
        <v>202608</v>
      </c>
      <c r="E213" s="10">
        <v>2.2466205428040693E-2</v>
      </c>
      <c r="F213" s="11">
        <v>42576.471663389369</v>
      </c>
      <c r="G213" s="11">
        <f>DCTable3[[#This Row],[Ramp]]*DCTable3[[#This Row],[Baseline Hrs]]</f>
        <v>956.53175879085904</v>
      </c>
      <c r="H213" s="12">
        <f>DCTable3[[#This Row],[Hours Saved]]*25.23</f>
        <v>24133.296274293374</v>
      </c>
      <c r="I213" s="12">
        <f>DCTable3[[#This Row],[Dollar Impact]]*1.3273</f>
        <v>32032.124144869595</v>
      </c>
      <c r="J213" s="6" t="s">
        <v>19</v>
      </c>
    </row>
    <row r="214" spans="1:10" x14ac:dyDescent="0.25">
      <c r="A214" s="6" t="s">
        <v>30</v>
      </c>
      <c r="B214" s="6">
        <v>5030</v>
      </c>
      <c r="C214" s="6" t="s">
        <v>46</v>
      </c>
      <c r="D214" s="6">
        <v>202609</v>
      </c>
      <c r="E214" s="10">
        <v>2.2466205428040693E-2</v>
      </c>
      <c r="F214" s="11">
        <v>48911.029397707833</v>
      </c>
      <c r="G214" s="11">
        <f>DCTable3[[#This Row],[Ramp]]*DCTable3[[#This Row],[Baseline Hrs]]</f>
        <v>1098.8452341458417</v>
      </c>
      <c r="H214" s="12">
        <f>DCTable3[[#This Row],[Hours Saved]]*25.23</f>
        <v>27723.865257499587</v>
      </c>
      <c r="I214" s="12">
        <f>DCTable3[[#This Row],[Dollar Impact]]*1.3273</f>
        <v>36797.886356279196</v>
      </c>
      <c r="J214" s="6" t="s">
        <v>19</v>
      </c>
    </row>
    <row r="215" spans="1:10" x14ac:dyDescent="0.25">
      <c r="A215" s="6" t="s">
        <v>30</v>
      </c>
      <c r="B215" s="6">
        <v>5030</v>
      </c>
      <c r="C215" s="6" t="s">
        <v>46</v>
      </c>
      <c r="D215" s="6">
        <v>202610</v>
      </c>
      <c r="E215" s="10">
        <v>2.2466205428040693E-2</v>
      </c>
      <c r="F215" s="11">
        <v>33529.287433762627</v>
      </c>
      <c r="G215" s="11">
        <f>DCTable3[[#This Row],[Ramp]]*DCTable3[[#This Row],[Baseline Hrs]]</f>
        <v>753.27585934273452</v>
      </c>
      <c r="H215" s="12">
        <f>DCTable3[[#This Row],[Hours Saved]]*25.23</f>
        <v>19005.149931217191</v>
      </c>
      <c r="I215" s="12">
        <f>DCTable3[[#This Row],[Dollar Impact]]*1.3273</f>
        <v>25225.535503704577</v>
      </c>
      <c r="J215" s="6" t="s">
        <v>19</v>
      </c>
    </row>
    <row r="216" spans="1:10" x14ac:dyDescent="0.25">
      <c r="A216" s="6" t="s">
        <v>30</v>
      </c>
      <c r="B216" s="6">
        <v>5030</v>
      </c>
      <c r="C216" s="6" t="s">
        <v>46</v>
      </c>
      <c r="D216" s="6">
        <v>202611</v>
      </c>
      <c r="E216" s="10">
        <v>2.2466205428040693E-2</v>
      </c>
      <c r="F216" s="11">
        <v>34403.628679060486</v>
      </c>
      <c r="G216" s="11">
        <f>DCTable3[[#This Row],[Ramp]]*DCTable3[[#This Row],[Baseline Hrs]]</f>
        <v>772.91898937380518</v>
      </c>
      <c r="H216" s="12">
        <f>DCTable3[[#This Row],[Hours Saved]]*25.23</f>
        <v>19500.746101901106</v>
      </c>
      <c r="I216" s="12">
        <f>DCTable3[[#This Row],[Dollar Impact]]*1.3273</f>
        <v>25883.340301053337</v>
      </c>
      <c r="J216" s="6" t="s">
        <v>19</v>
      </c>
    </row>
    <row r="217" spans="1:10" x14ac:dyDescent="0.25">
      <c r="A217" s="6" t="s">
        <v>30</v>
      </c>
      <c r="B217" s="6">
        <v>5030</v>
      </c>
      <c r="C217" s="6" t="s">
        <v>46</v>
      </c>
      <c r="D217" s="6">
        <v>202612</v>
      </c>
      <c r="E217" s="10">
        <v>2.2466205428040693E-2</v>
      </c>
      <c r="F217" s="11">
        <v>48916.234090439131</v>
      </c>
      <c r="G217" s="11">
        <f>DCTable3[[#This Row],[Ramp]]*DCTable3[[#This Row],[Baseline Hrs]]</f>
        <v>1098.9621638419328</v>
      </c>
      <c r="H217" s="12">
        <f>DCTable3[[#This Row],[Hours Saved]]*25.23</f>
        <v>27726.815393731966</v>
      </c>
      <c r="I217" s="12">
        <f>DCTable3[[#This Row],[Dollar Impact]]*1.3273</f>
        <v>36801.802072100436</v>
      </c>
      <c r="J217" s="6" t="s">
        <v>19</v>
      </c>
    </row>
    <row r="218" spans="1:10" x14ac:dyDescent="0.25">
      <c r="A218" s="6" t="s">
        <v>26</v>
      </c>
      <c r="B218" s="6">
        <v>5521</v>
      </c>
      <c r="C218" s="6" t="s">
        <v>47</v>
      </c>
      <c r="D218" s="6">
        <v>202601</v>
      </c>
      <c r="E218" s="10">
        <v>1.633635813090718E-2</v>
      </c>
      <c r="F218" s="11">
        <v>49415.807330048781</v>
      </c>
      <c r="G218" s="11">
        <f>DCTable3[[#This Row],[Ramp]]*DCTable3[[#This Row],[Baseline Hrs]]</f>
        <v>807.27432587158501</v>
      </c>
      <c r="H218" s="12">
        <f>DCTable3[[#This Row],[Hours Saved]]*25.23</f>
        <v>20367.531241740089</v>
      </c>
      <c r="I218" s="12">
        <f>DCTable3[[#This Row],[Dollar Impact]]*1.3273</f>
        <v>27033.824217161618</v>
      </c>
      <c r="J218" s="6" t="s">
        <v>9</v>
      </c>
    </row>
    <row r="219" spans="1:10" x14ac:dyDescent="0.25">
      <c r="A219" s="6" t="s">
        <v>26</v>
      </c>
      <c r="B219" s="6">
        <v>5521</v>
      </c>
      <c r="C219" s="6" t="s">
        <v>47</v>
      </c>
      <c r="D219" s="6">
        <v>202602</v>
      </c>
      <c r="E219" s="10">
        <v>1.633635813090718E-2</v>
      </c>
      <c r="F219" s="11">
        <v>48440.928570981647</v>
      </c>
      <c r="G219" s="11">
        <f>DCTable3[[#This Row],[Ramp]]*DCTable3[[#This Row],[Baseline Hrs]]</f>
        <v>791.34835732924989</v>
      </c>
      <c r="H219" s="12">
        <f>DCTable3[[#This Row],[Hours Saved]]*25.23</f>
        <v>19965.719055416976</v>
      </c>
      <c r="I219" s="12">
        <f>DCTable3[[#This Row],[Dollar Impact]]*1.3273</f>
        <v>26500.498902254949</v>
      </c>
      <c r="J219" s="6" t="s">
        <v>9</v>
      </c>
    </row>
    <row r="220" spans="1:10" x14ac:dyDescent="0.25">
      <c r="A220" s="6" t="s">
        <v>26</v>
      </c>
      <c r="B220" s="6">
        <v>5521</v>
      </c>
      <c r="C220" s="6" t="s">
        <v>47</v>
      </c>
      <c r="D220" s="6">
        <v>202603</v>
      </c>
      <c r="E220" s="10">
        <v>1.633635813090718E-2</v>
      </c>
      <c r="F220" s="11">
        <v>57510.868843091026</v>
      </c>
      <c r="G220" s="11">
        <f>DCTable3[[#This Row],[Ramp]]*DCTable3[[#This Row],[Baseline Hrs]]</f>
        <v>939.5181498403665</v>
      </c>
      <c r="H220" s="12">
        <f>DCTable3[[#This Row],[Hours Saved]]*25.23</f>
        <v>23704.042920472446</v>
      </c>
      <c r="I220" s="12">
        <f>DCTable3[[#This Row],[Dollar Impact]]*1.3273</f>
        <v>31462.376168343075</v>
      </c>
      <c r="J220" s="6" t="s">
        <v>9</v>
      </c>
    </row>
    <row r="221" spans="1:10" x14ac:dyDescent="0.25">
      <c r="A221" s="6" t="s">
        <v>26</v>
      </c>
      <c r="B221" s="6">
        <v>5521</v>
      </c>
      <c r="C221" s="6" t="s">
        <v>47</v>
      </c>
      <c r="D221" s="6">
        <v>202604</v>
      </c>
      <c r="E221" s="10">
        <v>1.633635813090718E-2</v>
      </c>
      <c r="F221" s="11">
        <v>42113.626440538945</v>
      </c>
      <c r="G221" s="11">
        <f>DCTable3[[#This Row],[Ramp]]*DCTable3[[#This Row],[Baseline Hrs]]</f>
        <v>687.98328372388596</v>
      </c>
      <c r="H221" s="12">
        <f>DCTable3[[#This Row],[Hours Saved]]*25.23</f>
        <v>17357.818248353644</v>
      </c>
      <c r="I221" s="12">
        <f>DCTable3[[#This Row],[Dollar Impact]]*1.3273</f>
        <v>23039.032161039791</v>
      </c>
      <c r="J221" s="6" t="s">
        <v>9</v>
      </c>
    </row>
    <row r="222" spans="1:10" x14ac:dyDescent="0.25">
      <c r="A222" s="6" t="s">
        <v>26</v>
      </c>
      <c r="B222" s="6">
        <v>5521</v>
      </c>
      <c r="C222" s="6" t="s">
        <v>47</v>
      </c>
      <c r="D222" s="6">
        <v>202605</v>
      </c>
      <c r="E222" s="10">
        <v>1.633635813090718E-2</v>
      </c>
      <c r="F222" s="11">
        <v>41889.229222103953</v>
      </c>
      <c r="G222" s="11">
        <f>DCTable3[[#This Row],[Ramp]]*DCTable3[[#This Row],[Baseline Hrs]]</f>
        <v>684.31745039995258</v>
      </c>
      <c r="H222" s="12">
        <f>DCTable3[[#This Row],[Hours Saved]]*25.23</f>
        <v>17265.329273590803</v>
      </c>
      <c r="I222" s="12">
        <f>DCTable3[[#This Row],[Dollar Impact]]*1.3273</f>
        <v>22916.271544837073</v>
      </c>
      <c r="J222" s="6" t="s">
        <v>9</v>
      </c>
    </row>
    <row r="223" spans="1:10" x14ac:dyDescent="0.25">
      <c r="A223" s="6" t="s">
        <v>26</v>
      </c>
      <c r="B223" s="6">
        <v>5521</v>
      </c>
      <c r="C223" s="6" t="s">
        <v>47</v>
      </c>
      <c r="D223" s="6">
        <v>202606</v>
      </c>
      <c r="E223" s="10">
        <v>1.633635813090718E-2</v>
      </c>
      <c r="F223" s="11">
        <v>53416.33787839159</v>
      </c>
      <c r="G223" s="11">
        <f>DCTable3[[#This Row],[Ramp]]*DCTable3[[#This Row],[Baseline Hrs]]</f>
        <v>872.62842562294759</v>
      </c>
      <c r="H223" s="12">
        <f>DCTable3[[#This Row],[Hours Saved]]*25.23</f>
        <v>22016.415178466967</v>
      </c>
      <c r="I223" s="12">
        <f>DCTable3[[#This Row],[Dollar Impact]]*1.3273</f>
        <v>29222.387866379202</v>
      </c>
      <c r="J223" s="6" t="s">
        <v>19</v>
      </c>
    </row>
    <row r="224" spans="1:10" x14ac:dyDescent="0.25">
      <c r="A224" s="6" t="s">
        <v>26</v>
      </c>
      <c r="B224" s="6">
        <v>5521</v>
      </c>
      <c r="C224" s="6" t="s">
        <v>47</v>
      </c>
      <c r="D224" s="6">
        <v>202607</v>
      </c>
      <c r="E224" s="10">
        <v>1.633635813090718E-2</v>
      </c>
      <c r="F224" s="11">
        <v>43568.466971176109</v>
      </c>
      <c r="G224" s="11">
        <f>DCTable3[[#This Row],[Ramp]]*DCTable3[[#This Row],[Baseline Hrs]]</f>
        <v>711.75007965573377</v>
      </c>
      <c r="H224" s="12">
        <f>DCTable3[[#This Row],[Hours Saved]]*25.23</f>
        <v>17957.454509714164</v>
      </c>
      <c r="I224" s="12">
        <f>DCTable3[[#This Row],[Dollar Impact]]*1.3273</f>
        <v>23834.929370743608</v>
      </c>
      <c r="J224" s="6" t="s">
        <v>19</v>
      </c>
    </row>
    <row r="225" spans="1:10" x14ac:dyDescent="0.25">
      <c r="A225" s="6" t="s">
        <v>26</v>
      </c>
      <c r="B225" s="6">
        <v>5521</v>
      </c>
      <c r="C225" s="6" t="s">
        <v>47</v>
      </c>
      <c r="D225" s="6">
        <v>202608</v>
      </c>
      <c r="E225" s="10">
        <v>1.633635813090718E-2</v>
      </c>
      <c r="F225" s="11">
        <v>43745.143582578916</v>
      </c>
      <c r="G225" s="11">
        <f>DCTable3[[#This Row],[Ramp]]*DCTable3[[#This Row],[Baseline Hrs]]</f>
        <v>714.63633205296514</v>
      </c>
      <c r="H225" s="12">
        <f>DCTable3[[#This Row],[Hours Saved]]*25.23</f>
        <v>18030.274657696311</v>
      </c>
      <c r="I225" s="12">
        <f>DCTable3[[#This Row],[Dollar Impact]]*1.3273</f>
        <v>23931.583553160312</v>
      </c>
      <c r="J225" s="6" t="s">
        <v>19</v>
      </c>
    </row>
    <row r="226" spans="1:10" x14ac:dyDescent="0.25">
      <c r="A226" s="6" t="s">
        <v>26</v>
      </c>
      <c r="B226" s="6">
        <v>5521</v>
      </c>
      <c r="C226" s="6" t="s">
        <v>47</v>
      </c>
      <c r="D226" s="6">
        <v>202609</v>
      </c>
      <c r="E226" s="10">
        <v>1.633635813090718E-2</v>
      </c>
      <c r="F226" s="11">
        <v>57085.759290840273</v>
      </c>
      <c r="G226" s="11">
        <f>DCTable3[[#This Row],[Ramp]]*DCTable3[[#This Row],[Baseline Hrs]]</f>
        <v>932.57340794992854</v>
      </c>
      <c r="H226" s="12">
        <f>DCTable3[[#This Row],[Hours Saved]]*25.23</f>
        <v>23528.827082576696</v>
      </c>
      <c r="I226" s="12">
        <f>DCTable3[[#This Row],[Dollar Impact]]*1.3273</f>
        <v>31229.812186704046</v>
      </c>
      <c r="J226" s="6" t="s">
        <v>19</v>
      </c>
    </row>
    <row r="227" spans="1:10" x14ac:dyDescent="0.25">
      <c r="A227" s="6" t="s">
        <v>26</v>
      </c>
      <c r="B227" s="6">
        <v>5521</v>
      </c>
      <c r="C227" s="6" t="s">
        <v>47</v>
      </c>
      <c r="D227" s="6">
        <v>202610</v>
      </c>
      <c r="E227" s="10">
        <v>1.633635813090718E-2</v>
      </c>
      <c r="F227" s="11">
        <v>40847.823110550562</v>
      </c>
      <c r="G227" s="11">
        <f>DCTable3[[#This Row],[Ramp]]*DCTable3[[#This Row],[Baseline Hrs]]</f>
        <v>667.30466720190088</v>
      </c>
      <c r="H227" s="12">
        <f>DCTable3[[#This Row],[Hours Saved]]*25.23</f>
        <v>16836.09675350396</v>
      </c>
      <c r="I227" s="12">
        <f>DCTable3[[#This Row],[Dollar Impact]]*1.3273</f>
        <v>22346.551220925805</v>
      </c>
      <c r="J227" s="6" t="s">
        <v>19</v>
      </c>
    </row>
    <row r="228" spans="1:10" x14ac:dyDescent="0.25">
      <c r="A228" s="6" t="s">
        <v>26</v>
      </c>
      <c r="B228" s="6">
        <v>5521</v>
      </c>
      <c r="C228" s="6" t="s">
        <v>47</v>
      </c>
      <c r="D228" s="6">
        <v>202611</v>
      </c>
      <c r="E228" s="10">
        <v>1.633635813090718E-2</v>
      </c>
      <c r="F228" s="11">
        <v>42015.481809460543</v>
      </c>
      <c r="G228" s="11">
        <f>DCTable3[[#This Row],[Ramp]]*DCTable3[[#This Row],[Baseline Hrs]]</f>
        <v>686.37995788196349</v>
      </c>
      <c r="H228" s="12">
        <f>DCTable3[[#This Row],[Hours Saved]]*25.23</f>
        <v>17317.366337361938</v>
      </c>
      <c r="I228" s="12">
        <f>DCTable3[[#This Row],[Dollar Impact]]*1.3273</f>
        <v>22985.3403395805</v>
      </c>
      <c r="J228" s="6" t="s">
        <v>19</v>
      </c>
    </row>
    <row r="229" spans="1:10" x14ac:dyDescent="0.25">
      <c r="A229" s="6" t="s">
        <v>26</v>
      </c>
      <c r="B229" s="6">
        <v>5521</v>
      </c>
      <c r="C229" s="6" t="s">
        <v>47</v>
      </c>
      <c r="D229" s="6">
        <v>202612</v>
      </c>
      <c r="E229" s="10">
        <v>1.63363581309072E-2</v>
      </c>
      <c r="F229" s="11">
        <v>59635.696898067152</v>
      </c>
      <c r="G229" s="11">
        <f>DCTable3[[#This Row],[Ramp]]*DCTable3[[#This Row],[Baseline Hrs]]</f>
        <v>974.23010191305661</v>
      </c>
      <c r="H229" s="12">
        <f>DCTable3[[#This Row],[Hours Saved]]*25.23</f>
        <v>24579.82547126642</v>
      </c>
      <c r="I229" s="12">
        <f>DCTable3[[#This Row],[Dollar Impact]]*1.3273</f>
        <v>32624.802348011919</v>
      </c>
      <c r="J229" s="6" t="s">
        <v>19</v>
      </c>
    </row>
    <row r="230" spans="1:10" x14ac:dyDescent="0.25">
      <c r="A230" s="6"/>
      <c r="B230" s="6"/>
      <c r="C230" s="6"/>
      <c r="D230" s="6"/>
      <c r="E230" s="7"/>
      <c r="F230" s="11">
        <f>SUM(F2:F229)</f>
        <v>9685428.5912826452</v>
      </c>
      <c r="G230" s="11">
        <f>SUM(G2:G229)</f>
        <v>177701.33121862693</v>
      </c>
      <c r="H230" s="12">
        <f>SUM(H2:H229)</f>
        <v>4483404.5866459571</v>
      </c>
      <c r="I230" s="12">
        <f>SUM(I2:I229)</f>
        <v>5950822.9078551782</v>
      </c>
      <c r="J230" s="6"/>
    </row>
    <row r="231" spans="1:10" x14ac:dyDescent="0.25">
      <c r="A231" s="1"/>
      <c r="B231" s="1"/>
      <c r="D231" s="2"/>
    </row>
    <row r="232" spans="1:10" x14ac:dyDescent="0.25">
      <c r="D232" s="5"/>
    </row>
  </sheetData>
  <mergeCells count="1">
    <mergeCell ref="L1:Q1"/>
  </mergeCells>
  <conditionalFormatting sqref="D231">
    <cfRule type="cellIs" priority="1" stopIfTrue="1" operator="greaterThanOrEqual">
      <formula>M3</formula>
    </cfRule>
  </conditionalFormatting>
  <pageMargins left="0.75" right="0.75" top="1" bottom="1" header="0.5" footer="0.5"/>
  <headerFooter>
    <oddFooter>&amp;C_x000D_&amp;1#&amp;"Calibri"&amp;8&amp;K000000 INTERNAL USE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2"/>
  <sheetViews>
    <sheetView workbookViewId="0">
      <selection activeCell="F4" sqref="F4"/>
    </sheetView>
  </sheetViews>
  <sheetFormatPr defaultRowHeight="15" x14ac:dyDescent="0.25"/>
  <cols>
    <col min="1" max="2" width="9" customWidth="1"/>
    <col min="3" max="3" width="23.28515625" customWidth="1"/>
    <col min="4" max="4" width="16" bestFit="1" customWidth="1"/>
    <col min="5" max="5" width="15" customWidth="1"/>
    <col min="6" max="6" width="14.5703125" bestFit="1" customWidth="1"/>
    <col min="7" max="7" width="12.28515625" bestFit="1" customWidth="1"/>
    <col min="8" max="9" width="18.28515625" customWidth="1"/>
    <col min="10" max="11" width="23.28515625" bestFit="1" customWidth="1"/>
    <col min="12" max="12" width="13" bestFit="1" customWidth="1"/>
  </cols>
  <sheetData>
    <row r="1" spans="1:12" x14ac:dyDescent="0.25">
      <c r="A1" t="s">
        <v>0</v>
      </c>
      <c r="B1" t="s">
        <v>25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J1" s="1" t="s">
        <v>7</v>
      </c>
      <c r="K1" s="4">
        <v>1000000</v>
      </c>
    </row>
    <row r="2" spans="1:12" x14ac:dyDescent="0.25">
      <c r="A2" t="s">
        <v>26</v>
      </c>
      <c r="B2">
        <v>5023</v>
      </c>
      <c r="C2" t="s">
        <v>27</v>
      </c>
      <c r="D2" t="s">
        <v>8</v>
      </c>
      <c r="E2">
        <v>11.49</v>
      </c>
      <c r="F2" s="3">
        <v>30866.47</v>
      </c>
      <c r="G2">
        <v>64.540000000000006</v>
      </c>
      <c r="H2" t="s">
        <v>9</v>
      </c>
    </row>
    <row r="3" spans="1:12" x14ac:dyDescent="0.25">
      <c r="A3" t="s">
        <v>26</v>
      </c>
      <c r="B3">
        <v>5023</v>
      </c>
      <c r="C3" t="s">
        <v>27</v>
      </c>
      <c r="D3" t="s">
        <v>10</v>
      </c>
      <c r="E3">
        <v>9.3800000000000008</v>
      </c>
      <c r="F3" s="3">
        <v>34046.050000000003</v>
      </c>
      <c r="G3">
        <v>68.23</v>
      </c>
      <c r="H3" t="s">
        <v>9</v>
      </c>
      <c r="J3" s="1" t="s">
        <v>11</v>
      </c>
      <c r="K3" t="s">
        <v>12</v>
      </c>
      <c r="L3" s="2">
        <f>SUMIF(DCTable[Live?],"Yes",DCTable[Dollar Impact])</f>
        <v>166965.1</v>
      </c>
    </row>
    <row r="4" spans="1:12" x14ac:dyDescent="0.25">
      <c r="A4" t="s">
        <v>26</v>
      </c>
      <c r="B4">
        <v>5023</v>
      </c>
      <c r="C4" t="s">
        <v>27</v>
      </c>
      <c r="D4" t="s">
        <v>13</v>
      </c>
      <c r="E4">
        <v>5.14</v>
      </c>
      <c r="F4" s="3">
        <v>20357.91</v>
      </c>
      <c r="G4">
        <v>141.32</v>
      </c>
      <c r="H4" t="s">
        <v>9</v>
      </c>
      <c r="K4" t="s">
        <v>14</v>
      </c>
      <c r="L4" s="5">
        <f>K1 - L3</f>
        <v>833034.9</v>
      </c>
    </row>
    <row r="5" spans="1:12" x14ac:dyDescent="0.25">
      <c r="A5" t="s">
        <v>26</v>
      </c>
      <c r="B5">
        <v>5023</v>
      </c>
      <c r="C5" t="s">
        <v>27</v>
      </c>
      <c r="D5" t="s">
        <v>15</v>
      </c>
      <c r="E5">
        <v>8.2200000000000006</v>
      </c>
      <c r="F5" s="3">
        <v>18246.89</v>
      </c>
      <c r="G5">
        <v>52.3</v>
      </c>
      <c r="H5" t="s">
        <v>9</v>
      </c>
    </row>
    <row r="6" spans="1:12" x14ac:dyDescent="0.25">
      <c r="A6" t="s">
        <v>26</v>
      </c>
      <c r="B6">
        <v>5023</v>
      </c>
      <c r="C6" t="s">
        <v>27</v>
      </c>
      <c r="D6" t="s">
        <v>16</v>
      </c>
      <c r="E6">
        <v>12.38</v>
      </c>
      <c r="F6" s="3">
        <v>21840.32</v>
      </c>
      <c r="G6">
        <v>98.63</v>
      </c>
      <c r="H6" t="s">
        <v>9</v>
      </c>
    </row>
    <row r="7" spans="1:12" x14ac:dyDescent="0.25">
      <c r="A7" t="s">
        <v>26</v>
      </c>
      <c r="B7">
        <v>5023</v>
      </c>
      <c r="C7" t="s">
        <v>27</v>
      </c>
      <c r="D7" t="s">
        <v>17</v>
      </c>
      <c r="E7">
        <v>13</v>
      </c>
      <c r="F7" s="3">
        <v>41607.46</v>
      </c>
      <c r="G7">
        <v>77.459999999999994</v>
      </c>
      <c r="H7" t="s">
        <v>9</v>
      </c>
    </row>
    <row r="8" spans="1:12" x14ac:dyDescent="0.25">
      <c r="A8" t="s">
        <v>26</v>
      </c>
      <c r="B8">
        <v>5023</v>
      </c>
      <c r="C8" t="s">
        <v>27</v>
      </c>
      <c r="D8" t="s">
        <v>18</v>
      </c>
      <c r="E8">
        <v>13.62</v>
      </c>
      <c r="F8" s="3">
        <v>12655.98</v>
      </c>
      <c r="G8">
        <v>83.47</v>
      </c>
      <c r="H8" t="s">
        <v>19</v>
      </c>
    </row>
    <row r="9" spans="1:12" x14ac:dyDescent="0.25">
      <c r="A9" t="s">
        <v>26</v>
      </c>
      <c r="B9">
        <v>5023</v>
      </c>
      <c r="C9" t="s">
        <v>27</v>
      </c>
      <c r="D9" t="s">
        <v>20</v>
      </c>
      <c r="E9">
        <v>14.7</v>
      </c>
      <c r="F9" s="3">
        <v>39671.949999999997</v>
      </c>
      <c r="G9">
        <v>143.46</v>
      </c>
      <c r="H9" t="s">
        <v>19</v>
      </c>
    </row>
    <row r="10" spans="1:12" x14ac:dyDescent="0.25">
      <c r="A10" t="s">
        <v>26</v>
      </c>
      <c r="B10">
        <v>5023</v>
      </c>
      <c r="C10" t="s">
        <v>27</v>
      </c>
      <c r="D10" t="s">
        <v>21</v>
      </c>
      <c r="E10">
        <v>12</v>
      </c>
      <c r="F10" s="3">
        <v>22768.1</v>
      </c>
      <c r="G10">
        <v>83.9</v>
      </c>
      <c r="H10" t="s">
        <v>19</v>
      </c>
      <c r="K10" s="5"/>
    </row>
    <row r="11" spans="1:12" x14ac:dyDescent="0.25">
      <c r="A11" t="s">
        <v>26</v>
      </c>
      <c r="B11">
        <v>5023</v>
      </c>
      <c r="C11" t="s">
        <v>27</v>
      </c>
      <c r="D11" t="s">
        <v>22</v>
      </c>
      <c r="E11">
        <v>11.43</v>
      </c>
      <c r="F11" s="3">
        <v>36447.53</v>
      </c>
      <c r="G11">
        <v>114.94</v>
      </c>
      <c r="H11" t="s">
        <v>19</v>
      </c>
    </row>
    <row r="12" spans="1:12" x14ac:dyDescent="0.25">
      <c r="A12" t="s">
        <v>26</v>
      </c>
      <c r="B12">
        <v>5023</v>
      </c>
      <c r="C12" t="s">
        <v>27</v>
      </c>
      <c r="D12" t="s">
        <v>23</v>
      </c>
      <c r="E12">
        <v>6.85</v>
      </c>
      <c r="F12" s="3">
        <v>47937.04</v>
      </c>
      <c r="G12">
        <v>144.38</v>
      </c>
      <c r="H12" t="s">
        <v>19</v>
      </c>
    </row>
    <row r="13" spans="1:12" x14ac:dyDescent="0.25">
      <c r="A13" t="s">
        <v>26</v>
      </c>
      <c r="B13">
        <v>5023</v>
      </c>
      <c r="C13" t="s">
        <v>27</v>
      </c>
      <c r="D13" t="s">
        <v>24</v>
      </c>
      <c r="E13">
        <v>10.35</v>
      </c>
      <c r="F13" s="3">
        <v>17603.45</v>
      </c>
      <c r="G13">
        <v>58.6</v>
      </c>
      <c r="H13" t="s">
        <v>19</v>
      </c>
    </row>
    <row r="14" spans="1:12" x14ac:dyDescent="0.25">
      <c r="A14" t="s">
        <v>28</v>
      </c>
      <c r="B14">
        <v>5024</v>
      </c>
      <c r="C14" t="s">
        <v>29</v>
      </c>
      <c r="D14" t="s">
        <v>8</v>
      </c>
      <c r="E14">
        <v>13.9</v>
      </c>
      <c r="F14" s="3">
        <v>18765.189999999999</v>
      </c>
      <c r="G14">
        <v>148.02000000000001</v>
      </c>
      <c r="H14" t="s">
        <v>19</v>
      </c>
    </row>
    <row r="15" spans="1:12" x14ac:dyDescent="0.25">
      <c r="A15" t="s">
        <v>28</v>
      </c>
      <c r="B15">
        <v>5024</v>
      </c>
      <c r="C15" t="s">
        <v>29</v>
      </c>
      <c r="D15" t="s">
        <v>10</v>
      </c>
      <c r="E15">
        <v>11.3</v>
      </c>
      <c r="F15" s="3">
        <v>17252.18</v>
      </c>
      <c r="G15">
        <v>102.04</v>
      </c>
      <c r="H15" t="s">
        <v>19</v>
      </c>
    </row>
    <row r="16" spans="1:12" x14ac:dyDescent="0.25">
      <c r="A16" t="s">
        <v>28</v>
      </c>
      <c r="B16">
        <v>5024</v>
      </c>
      <c r="C16" t="s">
        <v>29</v>
      </c>
      <c r="D16" t="s">
        <v>13</v>
      </c>
      <c r="E16">
        <v>14.26</v>
      </c>
      <c r="F16" s="3">
        <v>26365.78</v>
      </c>
      <c r="G16">
        <v>75.709999999999994</v>
      </c>
      <c r="H16" t="s">
        <v>19</v>
      </c>
    </row>
    <row r="17" spans="1:8" x14ac:dyDescent="0.25">
      <c r="A17" t="s">
        <v>28</v>
      </c>
      <c r="B17">
        <v>5024</v>
      </c>
      <c r="C17" t="s">
        <v>29</v>
      </c>
      <c r="D17" t="s">
        <v>15</v>
      </c>
      <c r="E17">
        <v>7.61</v>
      </c>
      <c r="F17" s="3">
        <v>37761.03</v>
      </c>
      <c r="G17">
        <v>147.04</v>
      </c>
      <c r="H17" t="s">
        <v>19</v>
      </c>
    </row>
    <row r="18" spans="1:8" x14ac:dyDescent="0.25">
      <c r="A18" t="s">
        <v>28</v>
      </c>
      <c r="B18">
        <v>5024</v>
      </c>
      <c r="C18" t="s">
        <v>29</v>
      </c>
      <c r="D18" t="s">
        <v>16</v>
      </c>
      <c r="E18">
        <v>10.64</v>
      </c>
      <c r="F18" s="3">
        <v>32281.32</v>
      </c>
      <c r="G18">
        <v>149.80000000000001</v>
      </c>
      <c r="H18" t="s">
        <v>19</v>
      </c>
    </row>
    <row r="19" spans="1:8" x14ac:dyDescent="0.25">
      <c r="A19" t="s">
        <v>28</v>
      </c>
      <c r="B19">
        <v>5024</v>
      </c>
      <c r="C19" t="s">
        <v>29</v>
      </c>
      <c r="D19" t="s">
        <v>17</v>
      </c>
      <c r="E19">
        <v>14.38</v>
      </c>
      <c r="F19" s="3">
        <v>19425.97</v>
      </c>
      <c r="G19">
        <v>107.49</v>
      </c>
      <c r="H19" t="s">
        <v>19</v>
      </c>
    </row>
    <row r="20" spans="1:8" x14ac:dyDescent="0.25">
      <c r="A20" t="s">
        <v>28</v>
      </c>
      <c r="B20">
        <v>5024</v>
      </c>
      <c r="C20" t="s">
        <v>29</v>
      </c>
      <c r="D20" t="s">
        <v>18</v>
      </c>
      <c r="E20">
        <v>12.2</v>
      </c>
      <c r="F20" s="3">
        <v>17665.34</v>
      </c>
      <c r="G20">
        <v>69.400000000000006</v>
      </c>
      <c r="H20" t="s">
        <v>19</v>
      </c>
    </row>
    <row r="21" spans="1:8" x14ac:dyDescent="0.25">
      <c r="A21" t="s">
        <v>28</v>
      </c>
      <c r="B21">
        <v>5024</v>
      </c>
      <c r="C21" t="s">
        <v>29</v>
      </c>
      <c r="D21" t="s">
        <v>20</v>
      </c>
      <c r="E21">
        <v>12.9</v>
      </c>
      <c r="F21" s="3">
        <v>42762.75</v>
      </c>
      <c r="G21">
        <v>79.28</v>
      </c>
      <c r="H21" t="s">
        <v>19</v>
      </c>
    </row>
    <row r="22" spans="1:8" x14ac:dyDescent="0.25">
      <c r="A22" t="s">
        <v>28</v>
      </c>
      <c r="B22">
        <v>5024</v>
      </c>
      <c r="C22" t="s">
        <v>29</v>
      </c>
      <c r="D22" t="s">
        <v>21</v>
      </c>
      <c r="E22">
        <v>14.71</v>
      </c>
      <c r="F22" s="3">
        <v>41568.07</v>
      </c>
      <c r="G22">
        <v>142.38999999999999</v>
      </c>
      <c r="H22" t="s">
        <v>19</v>
      </c>
    </row>
    <row r="23" spans="1:8" x14ac:dyDescent="0.25">
      <c r="A23" t="s">
        <v>28</v>
      </c>
      <c r="B23">
        <v>5024</v>
      </c>
      <c r="C23" t="s">
        <v>29</v>
      </c>
      <c r="D23" t="s">
        <v>22</v>
      </c>
      <c r="E23">
        <v>12.24</v>
      </c>
      <c r="F23" s="3">
        <v>45700.73</v>
      </c>
      <c r="G23">
        <v>118.89</v>
      </c>
      <c r="H23" t="s">
        <v>19</v>
      </c>
    </row>
    <row r="24" spans="1:8" x14ac:dyDescent="0.25">
      <c r="A24" t="s">
        <v>28</v>
      </c>
      <c r="B24">
        <v>5024</v>
      </c>
      <c r="C24" t="s">
        <v>29</v>
      </c>
      <c r="D24" t="s">
        <v>23</v>
      </c>
      <c r="E24">
        <v>13.82</v>
      </c>
      <c r="F24" s="3">
        <v>13474.13</v>
      </c>
      <c r="G24">
        <v>87.1</v>
      </c>
      <c r="H24" t="s">
        <v>19</v>
      </c>
    </row>
    <row r="25" spans="1:8" x14ac:dyDescent="0.25">
      <c r="A25" t="s">
        <v>28</v>
      </c>
      <c r="B25">
        <v>5024</v>
      </c>
      <c r="C25" t="s">
        <v>29</v>
      </c>
      <c r="D25" t="s">
        <v>24</v>
      </c>
      <c r="E25">
        <v>6.27</v>
      </c>
      <c r="F25" s="3">
        <v>30742.57</v>
      </c>
      <c r="G25">
        <v>129.94</v>
      </c>
      <c r="H25" t="s">
        <v>19</v>
      </c>
    </row>
    <row r="26" spans="1:8" x14ac:dyDescent="0.25">
      <c r="A26" t="s">
        <v>30</v>
      </c>
      <c r="B26">
        <v>5034</v>
      </c>
      <c r="C26" t="s">
        <v>31</v>
      </c>
      <c r="D26" t="s">
        <v>8</v>
      </c>
      <c r="E26">
        <v>5.77</v>
      </c>
      <c r="F26" s="3">
        <v>10171</v>
      </c>
      <c r="G26">
        <v>134.74</v>
      </c>
      <c r="H26" t="s">
        <v>19</v>
      </c>
    </row>
    <row r="27" spans="1:8" x14ac:dyDescent="0.25">
      <c r="A27" t="s">
        <v>30</v>
      </c>
      <c r="B27">
        <v>5034</v>
      </c>
      <c r="C27" t="s">
        <v>31</v>
      </c>
      <c r="D27" t="s">
        <v>10</v>
      </c>
      <c r="E27">
        <v>9.11</v>
      </c>
      <c r="F27" s="3">
        <v>35770.61</v>
      </c>
      <c r="G27">
        <v>110.55</v>
      </c>
      <c r="H27" t="s">
        <v>19</v>
      </c>
    </row>
    <row r="28" spans="1:8" x14ac:dyDescent="0.25">
      <c r="A28" t="s">
        <v>30</v>
      </c>
      <c r="B28">
        <v>5034</v>
      </c>
      <c r="C28" t="s">
        <v>31</v>
      </c>
      <c r="D28" t="s">
        <v>13</v>
      </c>
      <c r="E28">
        <v>9.1999999999999993</v>
      </c>
      <c r="F28" s="3">
        <v>46146.17</v>
      </c>
      <c r="G28">
        <v>115.64</v>
      </c>
      <c r="H28" t="s">
        <v>19</v>
      </c>
    </row>
    <row r="29" spans="1:8" x14ac:dyDescent="0.25">
      <c r="A29" t="s">
        <v>30</v>
      </c>
      <c r="B29">
        <v>5034</v>
      </c>
      <c r="C29" t="s">
        <v>31</v>
      </c>
      <c r="D29" t="s">
        <v>15</v>
      </c>
      <c r="E29">
        <v>11.11</v>
      </c>
      <c r="F29" s="3">
        <v>15203.65</v>
      </c>
      <c r="G29">
        <v>134.25</v>
      </c>
      <c r="H29" t="s">
        <v>19</v>
      </c>
    </row>
    <row r="30" spans="1:8" x14ac:dyDescent="0.25">
      <c r="A30" t="s">
        <v>30</v>
      </c>
      <c r="B30">
        <v>5034</v>
      </c>
      <c r="C30" t="s">
        <v>31</v>
      </c>
      <c r="D30" t="s">
        <v>16</v>
      </c>
      <c r="E30">
        <v>12.82</v>
      </c>
      <c r="F30" s="3">
        <v>18155.97</v>
      </c>
      <c r="G30">
        <v>92.95</v>
      </c>
      <c r="H30" t="s">
        <v>19</v>
      </c>
    </row>
    <row r="31" spans="1:8" x14ac:dyDescent="0.25">
      <c r="A31" t="s">
        <v>30</v>
      </c>
      <c r="B31">
        <v>5034</v>
      </c>
      <c r="C31" t="s">
        <v>31</v>
      </c>
      <c r="D31" t="s">
        <v>17</v>
      </c>
      <c r="E31">
        <v>6.89</v>
      </c>
      <c r="F31" s="3">
        <v>46048.68</v>
      </c>
      <c r="G31">
        <v>102.32</v>
      </c>
      <c r="H31" t="s">
        <v>19</v>
      </c>
    </row>
    <row r="32" spans="1:8" x14ac:dyDescent="0.25">
      <c r="A32" t="s">
        <v>30</v>
      </c>
      <c r="B32">
        <v>5034</v>
      </c>
      <c r="C32" t="s">
        <v>31</v>
      </c>
      <c r="D32" t="s">
        <v>18</v>
      </c>
      <c r="E32">
        <v>8.0299999999999994</v>
      </c>
      <c r="F32" s="3">
        <v>35110.17</v>
      </c>
      <c r="G32">
        <v>116.52</v>
      </c>
      <c r="H32" t="s">
        <v>19</v>
      </c>
    </row>
    <row r="33" spans="1:8" x14ac:dyDescent="0.25">
      <c r="A33" t="s">
        <v>30</v>
      </c>
      <c r="B33">
        <v>5034</v>
      </c>
      <c r="C33" t="s">
        <v>31</v>
      </c>
      <c r="D33" t="s">
        <v>20</v>
      </c>
      <c r="E33">
        <v>11.58</v>
      </c>
      <c r="F33" s="3">
        <v>29766.15</v>
      </c>
      <c r="G33">
        <v>127.56</v>
      </c>
      <c r="H33" t="s">
        <v>19</v>
      </c>
    </row>
    <row r="34" spans="1:8" x14ac:dyDescent="0.25">
      <c r="A34" t="s">
        <v>30</v>
      </c>
      <c r="B34">
        <v>5034</v>
      </c>
      <c r="C34" t="s">
        <v>31</v>
      </c>
      <c r="D34" t="s">
        <v>21</v>
      </c>
      <c r="E34">
        <v>10.31</v>
      </c>
      <c r="F34" s="3">
        <v>26097.11</v>
      </c>
      <c r="G34">
        <v>121.49</v>
      </c>
      <c r="H34" t="s">
        <v>19</v>
      </c>
    </row>
    <row r="35" spans="1:8" x14ac:dyDescent="0.25">
      <c r="A35" t="s">
        <v>30</v>
      </c>
      <c r="B35">
        <v>5034</v>
      </c>
      <c r="C35" t="s">
        <v>31</v>
      </c>
      <c r="D35" t="s">
        <v>22</v>
      </c>
      <c r="E35">
        <v>11.61</v>
      </c>
      <c r="F35" s="3">
        <v>40398.629999999997</v>
      </c>
      <c r="G35">
        <v>132.06</v>
      </c>
      <c r="H35" t="s">
        <v>19</v>
      </c>
    </row>
    <row r="36" spans="1:8" x14ac:dyDescent="0.25">
      <c r="A36" t="s">
        <v>30</v>
      </c>
      <c r="B36">
        <v>5034</v>
      </c>
      <c r="C36" t="s">
        <v>31</v>
      </c>
      <c r="D36" t="s">
        <v>23</v>
      </c>
      <c r="E36">
        <v>7.31</v>
      </c>
      <c r="F36" s="3">
        <v>49988.31</v>
      </c>
      <c r="G36">
        <v>67.180000000000007</v>
      </c>
      <c r="H36" t="s">
        <v>19</v>
      </c>
    </row>
    <row r="37" spans="1:8" x14ac:dyDescent="0.25">
      <c r="A37" t="s">
        <v>30</v>
      </c>
      <c r="B37">
        <v>5034</v>
      </c>
      <c r="C37" t="s">
        <v>31</v>
      </c>
      <c r="D37" t="s">
        <v>24</v>
      </c>
      <c r="E37">
        <v>11.46</v>
      </c>
      <c r="F37" s="3">
        <v>25021.82</v>
      </c>
      <c r="G37">
        <v>70.650000000000006</v>
      </c>
      <c r="H37" t="s">
        <v>19</v>
      </c>
    </row>
    <row r="38" spans="1:8" x14ac:dyDescent="0.25">
      <c r="A38" t="s">
        <v>30</v>
      </c>
      <c r="B38">
        <v>5084</v>
      </c>
      <c r="C38" t="s">
        <v>32</v>
      </c>
      <c r="D38" t="s">
        <v>8</v>
      </c>
      <c r="E38">
        <v>8.65</v>
      </c>
      <c r="F38" s="3">
        <v>43235.519999999997</v>
      </c>
      <c r="G38">
        <v>61.11</v>
      </c>
      <c r="H38" t="s">
        <v>19</v>
      </c>
    </row>
    <row r="39" spans="1:8" x14ac:dyDescent="0.25">
      <c r="A39" t="s">
        <v>30</v>
      </c>
      <c r="B39">
        <v>5084</v>
      </c>
      <c r="C39" t="s">
        <v>32</v>
      </c>
      <c r="D39" t="s">
        <v>10</v>
      </c>
      <c r="E39">
        <v>6.6</v>
      </c>
      <c r="F39" s="3">
        <v>13787.3</v>
      </c>
      <c r="G39">
        <v>65.760000000000005</v>
      </c>
      <c r="H39" t="s">
        <v>19</v>
      </c>
    </row>
    <row r="40" spans="1:8" x14ac:dyDescent="0.25">
      <c r="A40" t="s">
        <v>30</v>
      </c>
      <c r="B40">
        <v>5084</v>
      </c>
      <c r="C40" t="s">
        <v>32</v>
      </c>
      <c r="D40" t="s">
        <v>13</v>
      </c>
      <c r="E40">
        <v>10.25</v>
      </c>
      <c r="F40" s="3">
        <v>36355.660000000003</v>
      </c>
      <c r="G40">
        <v>72.33</v>
      </c>
      <c r="H40" t="s">
        <v>19</v>
      </c>
    </row>
    <row r="41" spans="1:8" x14ac:dyDescent="0.25">
      <c r="A41" t="s">
        <v>30</v>
      </c>
      <c r="B41">
        <v>5084</v>
      </c>
      <c r="C41" t="s">
        <v>32</v>
      </c>
      <c r="D41" t="s">
        <v>15</v>
      </c>
      <c r="E41">
        <v>8.4499999999999993</v>
      </c>
      <c r="F41" s="3">
        <v>16660.97</v>
      </c>
      <c r="G41">
        <v>149.11000000000001</v>
      </c>
      <c r="H41" t="s">
        <v>19</v>
      </c>
    </row>
    <row r="42" spans="1:8" x14ac:dyDescent="0.25">
      <c r="A42" t="s">
        <v>30</v>
      </c>
      <c r="B42">
        <v>5084</v>
      </c>
      <c r="C42" t="s">
        <v>32</v>
      </c>
      <c r="D42" t="s">
        <v>16</v>
      </c>
      <c r="E42">
        <v>10.130000000000001</v>
      </c>
      <c r="F42" s="3">
        <v>12847.55</v>
      </c>
      <c r="G42">
        <v>110.58</v>
      </c>
      <c r="H42" t="s">
        <v>19</v>
      </c>
    </row>
    <row r="43" spans="1:8" x14ac:dyDescent="0.25">
      <c r="A43" t="s">
        <v>30</v>
      </c>
      <c r="B43">
        <v>5084</v>
      </c>
      <c r="C43" t="s">
        <v>32</v>
      </c>
      <c r="D43" t="s">
        <v>17</v>
      </c>
      <c r="E43">
        <v>13.99</v>
      </c>
      <c r="F43" s="3">
        <v>13068.18</v>
      </c>
      <c r="G43">
        <v>80.099999999999994</v>
      </c>
      <c r="H43" t="s">
        <v>19</v>
      </c>
    </row>
    <row r="44" spans="1:8" x14ac:dyDescent="0.25">
      <c r="A44" t="s">
        <v>30</v>
      </c>
      <c r="B44">
        <v>5084</v>
      </c>
      <c r="C44" t="s">
        <v>32</v>
      </c>
      <c r="D44" t="s">
        <v>18</v>
      </c>
      <c r="E44">
        <v>7.28</v>
      </c>
      <c r="F44" s="3">
        <v>39857.660000000003</v>
      </c>
      <c r="G44">
        <v>91</v>
      </c>
      <c r="H44" t="s">
        <v>19</v>
      </c>
    </row>
    <row r="45" spans="1:8" x14ac:dyDescent="0.25">
      <c r="A45" t="s">
        <v>30</v>
      </c>
      <c r="B45">
        <v>5084</v>
      </c>
      <c r="C45" t="s">
        <v>32</v>
      </c>
      <c r="D45" t="s">
        <v>20</v>
      </c>
      <c r="E45">
        <v>12.17</v>
      </c>
      <c r="F45" s="3">
        <v>22635.73</v>
      </c>
      <c r="G45">
        <v>125.28</v>
      </c>
      <c r="H45" t="s">
        <v>19</v>
      </c>
    </row>
    <row r="46" spans="1:8" x14ac:dyDescent="0.25">
      <c r="A46" t="s">
        <v>30</v>
      </c>
      <c r="B46">
        <v>5084</v>
      </c>
      <c r="C46" t="s">
        <v>32</v>
      </c>
      <c r="D46" t="s">
        <v>21</v>
      </c>
      <c r="E46">
        <v>13.34</v>
      </c>
      <c r="F46" s="3">
        <v>41147.61</v>
      </c>
      <c r="G46">
        <v>90.74</v>
      </c>
      <c r="H46" t="s">
        <v>19</v>
      </c>
    </row>
    <row r="47" spans="1:8" x14ac:dyDescent="0.25">
      <c r="A47" t="s">
        <v>30</v>
      </c>
      <c r="B47">
        <v>5084</v>
      </c>
      <c r="C47" t="s">
        <v>32</v>
      </c>
      <c r="D47" t="s">
        <v>22</v>
      </c>
      <c r="E47">
        <v>9.82</v>
      </c>
      <c r="F47" s="3">
        <v>26110.400000000001</v>
      </c>
      <c r="G47">
        <v>90.79</v>
      </c>
      <c r="H47" t="s">
        <v>19</v>
      </c>
    </row>
    <row r="48" spans="1:8" x14ac:dyDescent="0.25">
      <c r="A48" t="s">
        <v>30</v>
      </c>
      <c r="B48">
        <v>5084</v>
      </c>
      <c r="C48" t="s">
        <v>32</v>
      </c>
      <c r="D48" t="s">
        <v>23</v>
      </c>
      <c r="E48">
        <v>13.97</v>
      </c>
      <c r="F48" s="3">
        <v>32583.09</v>
      </c>
      <c r="G48">
        <v>93.36</v>
      </c>
      <c r="H48" t="s">
        <v>19</v>
      </c>
    </row>
    <row r="49" spans="1:8" x14ac:dyDescent="0.25">
      <c r="A49" t="s">
        <v>30</v>
      </c>
      <c r="B49">
        <v>5084</v>
      </c>
      <c r="C49" t="s">
        <v>32</v>
      </c>
      <c r="D49" t="s">
        <v>24</v>
      </c>
      <c r="E49">
        <v>11.96</v>
      </c>
      <c r="F49" s="3">
        <v>34402.519999999997</v>
      </c>
      <c r="G49">
        <v>93.76</v>
      </c>
      <c r="H49" t="s">
        <v>19</v>
      </c>
    </row>
    <row r="50" spans="1:8" x14ac:dyDescent="0.25">
      <c r="A50" t="s">
        <v>26</v>
      </c>
      <c r="B50">
        <v>5085</v>
      </c>
      <c r="C50" t="s">
        <v>33</v>
      </c>
      <c r="D50" t="s">
        <v>8</v>
      </c>
      <c r="E50">
        <v>6.48</v>
      </c>
      <c r="F50" s="3">
        <v>39894.26</v>
      </c>
      <c r="G50">
        <v>63.98</v>
      </c>
      <c r="H50" t="s">
        <v>19</v>
      </c>
    </row>
    <row r="51" spans="1:8" x14ac:dyDescent="0.25">
      <c r="A51" t="s">
        <v>26</v>
      </c>
      <c r="B51">
        <v>5085</v>
      </c>
      <c r="C51" t="s">
        <v>33</v>
      </c>
      <c r="D51" t="s">
        <v>10</v>
      </c>
      <c r="E51">
        <v>6.26</v>
      </c>
      <c r="F51" s="3">
        <v>28799.21</v>
      </c>
      <c r="G51">
        <v>53.98</v>
      </c>
      <c r="H51" t="s">
        <v>19</v>
      </c>
    </row>
    <row r="52" spans="1:8" x14ac:dyDescent="0.25">
      <c r="A52" t="s">
        <v>26</v>
      </c>
      <c r="B52">
        <v>5085</v>
      </c>
      <c r="C52" t="s">
        <v>33</v>
      </c>
      <c r="D52" t="s">
        <v>13</v>
      </c>
      <c r="E52">
        <v>12.03</v>
      </c>
      <c r="F52" s="3">
        <v>21696.06</v>
      </c>
      <c r="G52">
        <v>71.86</v>
      </c>
      <c r="H52" t="s">
        <v>19</v>
      </c>
    </row>
    <row r="53" spans="1:8" x14ac:dyDescent="0.25">
      <c r="A53" t="s">
        <v>26</v>
      </c>
      <c r="B53">
        <v>5085</v>
      </c>
      <c r="C53" t="s">
        <v>33</v>
      </c>
      <c r="D53" t="s">
        <v>15</v>
      </c>
      <c r="E53">
        <v>13.74</v>
      </c>
      <c r="F53" s="3">
        <v>45146.61</v>
      </c>
      <c r="G53">
        <v>52.39</v>
      </c>
      <c r="H53" t="s">
        <v>19</v>
      </c>
    </row>
    <row r="54" spans="1:8" x14ac:dyDescent="0.25">
      <c r="A54" t="s">
        <v>26</v>
      </c>
      <c r="B54">
        <v>5085</v>
      </c>
      <c r="C54" t="s">
        <v>33</v>
      </c>
      <c r="D54" t="s">
        <v>16</v>
      </c>
      <c r="E54">
        <v>5.35</v>
      </c>
      <c r="F54" s="3">
        <v>16223.4</v>
      </c>
      <c r="G54">
        <v>51.17</v>
      </c>
      <c r="H54" t="s">
        <v>19</v>
      </c>
    </row>
    <row r="55" spans="1:8" x14ac:dyDescent="0.25">
      <c r="A55" t="s">
        <v>26</v>
      </c>
      <c r="B55">
        <v>5085</v>
      </c>
      <c r="C55" t="s">
        <v>33</v>
      </c>
      <c r="D55" t="s">
        <v>17</v>
      </c>
      <c r="E55">
        <v>8.26</v>
      </c>
      <c r="F55" s="3">
        <v>21837.83</v>
      </c>
      <c r="G55">
        <v>52.17</v>
      </c>
      <c r="H55" t="s">
        <v>19</v>
      </c>
    </row>
    <row r="56" spans="1:8" x14ac:dyDescent="0.25">
      <c r="A56" t="s">
        <v>26</v>
      </c>
      <c r="B56">
        <v>5085</v>
      </c>
      <c r="C56" t="s">
        <v>33</v>
      </c>
      <c r="D56" t="s">
        <v>18</v>
      </c>
      <c r="E56">
        <v>5.74</v>
      </c>
      <c r="F56" s="3">
        <v>14115.56</v>
      </c>
      <c r="G56">
        <v>114.32</v>
      </c>
      <c r="H56" t="s">
        <v>19</v>
      </c>
    </row>
    <row r="57" spans="1:8" x14ac:dyDescent="0.25">
      <c r="A57" t="s">
        <v>26</v>
      </c>
      <c r="B57">
        <v>5085</v>
      </c>
      <c r="C57" t="s">
        <v>33</v>
      </c>
      <c r="D57" t="s">
        <v>20</v>
      </c>
      <c r="E57">
        <v>8.9700000000000006</v>
      </c>
      <c r="F57" s="3">
        <v>29915.99</v>
      </c>
      <c r="G57">
        <v>69.02</v>
      </c>
      <c r="H57" t="s">
        <v>19</v>
      </c>
    </row>
    <row r="58" spans="1:8" x14ac:dyDescent="0.25">
      <c r="A58" t="s">
        <v>26</v>
      </c>
      <c r="B58">
        <v>5085</v>
      </c>
      <c r="C58" t="s">
        <v>33</v>
      </c>
      <c r="D58" t="s">
        <v>21</v>
      </c>
      <c r="E58">
        <v>9.64</v>
      </c>
      <c r="F58" s="3">
        <v>16840.72</v>
      </c>
      <c r="G58">
        <v>122.13</v>
      </c>
      <c r="H58" t="s">
        <v>19</v>
      </c>
    </row>
    <row r="59" spans="1:8" x14ac:dyDescent="0.25">
      <c r="A59" t="s">
        <v>26</v>
      </c>
      <c r="B59">
        <v>5085</v>
      </c>
      <c r="C59" t="s">
        <v>33</v>
      </c>
      <c r="D59" t="s">
        <v>22</v>
      </c>
      <c r="E59">
        <v>11.72</v>
      </c>
      <c r="F59" s="3">
        <v>30396.959999999999</v>
      </c>
      <c r="G59">
        <v>91.18</v>
      </c>
      <c r="H59" t="s">
        <v>19</v>
      </c>
    </row>
    <row r="60" spans="1:8" x14ac:dyDescent="0.25">
      <c r="A60" t="s">
        <v>26</v>
      </c>
      <c r="B60">
        <v>5085</v>
      </c>
      <c r="C60" t="s">
        <v>33</v>
      </c>
      <c r="D60" t="s">
        <v>23</v>
      </c>
      <c r="E60">
        <v>9.49</v>
      </c>
      <c r="F60" s="3">
        <v>20380.169999999998</v>
      </c>
      <c r="G60">
        <v>119.8</v>
      </c>
      <c r="H60" t="s">
        <v>19</v>
      </c>
    </row>
    <row r="61" spans="1:8" x14ac:dyDescent="0.25">
      <c r="A61" t="s">
        <v>26</v>
      </c>
      <c r="B61">
        <v>5085</v>
      </c>
      <c r="C61" t="s">
        <v>33</v>
      </c>
      <c r="D61" t="s">
        <v>24</v>
      </c>
      <c r="E61">
        <v>12.67</v>
      </c>
      <c r="F61" s="3">
        <v>20505.78</v>
      </c>
      <c r="G61">
        <v>99.88</v>
      </c>
      <c r="H61" t="s">
        <v>19</v>
      </c>
    </row>
    <row r="62" spans="1:8" x14ac:dyDescent="0.25">
      <c r="A62" t="s">
        <v>26</v>
      </c>
      <c r="B62">
        <v>5086</v>
      </c>
      <c r="C62" t="s">
        <v>34</v>
      </c>
      <c r="D62" t="s">
        <v>8</v>
      </c>
      <c r="E62">
        <v>11.05</v>
      </c>
      <c r="F62" s="3">
        <v>20905.060000000001</v>
      </c>
      <c r="G62">
        <v>61.04</v>
      </c>
      <c r="H62" t="s">
        <v>19</v>
      </c>
    </row>
    <row r="63" spans="1:8" x14ac:dyDescent="0.25">
      <c r="A63" t="s">
        <v>26</v>
      </c>
      <c r="B63">
        <v>5086</v>
      </c>
      <c r="C63" t="s">
        <v>34</v>
      </c>
      <c r="D63" t="s">
        <v>10</v>
      </c>
      <c r="E63">
        <v>10.52</v>
      </c>
      <c r="F63" s="3">
        <v>16854.189999999999</v>
      </c>
      <c r="G63">
        <v>61.99</v>
      </c>
      <c r="H63" t="s">
        <v>19</v>
      </c>
    </row>
    <row r="64" spans="1:8" x14ac:dyDescent="0.25">
      <c r="A64" t="s">
        <v>26</v>
      </c>
      <c r="B64">
        <v>5086</v>
      </c>
      <c r="C64" t="s">
        <v>34</v>
      </c>
      <c r="D64" t="s">
        <v>13</v>
      </c>
      <c r="E64">
        <v>10.66</v>
      </c>
      <c r="F64" s="3">
        <v>23751.14</v>
      </c>
      <c r="G64">
        <v>58.4</v>
      </c>
      <c r="H64" t="s">
        <v>19</v>
      </c>
    </row>
    <row r="65" spans="1:8" x14ac:dyDescent="0.25">
      <c r="A65" t="s">
        <v>26</v>
      </c>
      <c r="B65">
        <v>5086</v>
      </c>
      <c r="C65" t="s">
        <v>34</v>
      </c>
      <c r="D65" t="s">
        <v>15</v>
      </c>
      <c r="E65">
        <v>7.68</v>
      </c>
      <c r="F65" s="3">
        <v>20372.09</v>
      </c>
      <c r="G65">
        <v>136.21</v>
      </c>
      <c r="H65" t="s">
        <v>19</v>
      </c>
    </row>
    <row r="66" spans="1:8" x14ac:dyDescent="0.25">
      <c r="A66" t="s">
        <v>26</v>
      </c>
      <c r="B66">
        <v>5086</v>
      </c>
      <c r="C66" t="s">
        <v>34</v>
      </c>
      <c r="D66" t="s">
        <v>16</v>
      </c>
      <c r="E66">
        <v>14.05</v>
      </c>
      <c r="F66" s="3">
        <v>28397.35</v>
      </c>
      <c r="G66">
        <v>140.46</v>
      </c>
      <c r="H66" t="s">
        <v>19</v>
      </c>
    </row>
    <row r="67" spans="1:8" x14ac:dyDescent="0.25">
      <c r="A67" t="s">
        <v>26</v>
      </c>
      <c r="B67">
        <v>5086</v>
      </c>
      <c r="C67" t="s">
        <v>34</v>
      </c>
      <c r="D67" t="s">
        <v>17</v>
      </c>
      <c r="E67">
        <v>9.5299999999999994</v>
      </c>
      <c r="F67" s="3">
        <v>43271.12</v>
      </c>
      <c r="G67">
        <v>72.33</v>
      </c>
      <c r="H67" t="s">
        <v>19</v>
      </c>
    </row>
    <row r="68" spans="1:8" x14ac:dyDescent="0.25">
      <c r="A68" t="s">
        <v>26</v>
      </c>
      <c r="B68">
        <v>5086</v>
      </c>
      <c r="C68" t="s">
        <v>34</v>
      </c>
      <c r="D68" t="s">
        <v>18</v>
      </c>
      <c r="E68">
        <v>5.14</v>
      </c>
      <c r="F68" s="3">
        <v>36676.589999999997</v>
      </c>
      <c r="G68">
        <v>68.819999999999993</v>
      </c>
      <c r="H68" t="s">
        <v>19</v>
      </c>
    </row>
    <row r="69" spans="1:8" x14ac:dyDescent="0.25">
      <c r="A69" t="s">
        <v>26</v>
      </c>
      <c r="B69">
        <v>5086</v>
      </c>
      <c r="C69" t="s">
        <v>34</v>
      </c>
      <c r="D69" t="s">
        <v>20</v>
      </c>
      <c r="E69">
        <v>11.07</v>
      </c>
      <c r="F69" s="3">
        <v>41680.85</v>
      </c>
      <c r="G69">
        <v>128.01</v>
      </c>
      <c r="H69" t="s">
        <v>19</v>
      </c>
    </row>
    <row r="70" spans="1:8" x14ac:dyDescent="0.25">
      <c r="A70" t="s">
        <v>26</v>
      </c>
      <c r="B70">
        <v>5086</v>
      </c>
      <c r="C70" t="s">
        <v>34</v>
      </c>
      <c r="D70" t="s">
        <v>21</v>
      </c>
      <c r="E70">
        <v>14.83</v>
      </c>
      <c r="F70" s="3">
        <v>21978.799999999999</v>
      </c>
      <c r="G70">
        <v>83.27</v>
      </c>
      <c r="H70" t="s">
        <v>19</v>
      </c>
    </row>
    <row r="71" spans="1:8" x14ac:dyDescent="0.25">
      <c r="A71" t="s">
        <v>26</v>
      </c>
      <c r="B71">
        <v>5086</v>
      </c>
      <c r="C71" t="s">
        <v>34</v>
      </c>
      <c r="D71" t="s">
        <v>22</v>
      </c>
      <c r="E71">
        <v>13.23</v>
      </c>
      <c r="F71" s="3">
        <v>14643.11</v>
      </c>
      <c r="G71">
        <v>50.54</v>
      </c>
      <c r="H71" t="s">
        <v>19</v>
      </c>
    </row>
    <row r="72" spans="1:8" x14ac:dyDescent="0.25">
      <c r="A72" t="s">
        <v>26</v>
      </c>
      <c r="B72">
        <v>5086</v>
      </c>
      <c r="C72" t="s">
        <v>34</v>
      </c>
      <c r="D72" t="s">
        <v>23</v>
      </c>
      <c r="E72">
        <v>8.33</v>
      </c>
      <c r="F72" s="3">
        <v>28485.119999999999</v>
      </c>
      <c r="G72">
        <v>143.58000000000001</v>
      </c>
      <c r="H72" t="s">
        <v>19</v>
      </c>
    </row>
    <row r="73" spans="1:8" x14ac:dyDescent="0.25">
      <c r="A73" t="s">
        <v>26</v>
      </c>
      <c r="B73">
        <v>5086</v>
      </c>
      <c r="C73" t="s">
        <v>34</v>
      </c>
      <c r="D73" t="s">
        <v>24</v>
      </c>
      <c r="E73">
        <v>13.42</v>
      </c>
      <c r="F73" s="3">
        <v>12826.36</v>
      </c>
      <c r="G73">
        <v>109.05</v>
      </c>
      <c r="H73" t="s">
        <v>19</v>
      </c>
    </row>
    <row r="74" spans="1:8" x14ac:dyDescent="0.25">
      <c r="A74" t="s">
        <v>28</v>
      </c>
      <c r="B74">
        <v>5087</v>
      </c>
      <c r="C74" t="s">
        <v>35</v>
      </c>
      <c r="D74" t="s">
        <v>8</v>
      </c>
      <c r="E74">
        <v>10.25</v>
      </c>
      <c r="F74" s="3">
        <v>14822.84</v>
      </c>
      <c r="G74">
        <v>147.31</v>
      </c>
      <c r="H74" t="s">
        <v>19</v>
      </c>
    </row>
    <row r="75" spans="1:8" x14ac:dyDescent="0.25">
      <c r="A75" t="s">
        <v>28</v>
      </c>
      <c r="B75">
        <v>5087</v>
      </c>
      <c r="C75" t="s">
        <v>35</v>
      </c>
      <c r="D75" t="s">
        <v>10</v>
      </c>
      <c r="E75">
        <v>14.21</v>
      </c>
      <c r="F75" s="3">
        <v>34529.279999999999</v>
      </c>
      <c r="G75">
        <v>105.87</v>
      </c>
      <c r="H75" t="s">
        <v>19</v>
      </c>
    </row>
    <row r="76" spans="1:8" x14ac:dyDescent="0.25">
      <c r="A76" t="s">
        <v>28</v>
      </c>
      <c r="B76">
        <v>5087</v>
      </c>
      <c r="C76" t="s">
        <v>35</v>
      </c>
      <c r="D76" t="s">
        <v>13</v>
      </c>
      <c r="E76">
        <v>5.14</v>
      </c>
      <c r="F76" s="3">
        <v>17597.36</v>
      </c>
      <c r="G76">
        <v>53.18</v>
      </c>
      <c r="H76" t="s">
        <v>19</v>
      </c>
    </row>
    <row r="77" spans="1:8" x14ac:dyDescent="0.25">
      <c r="A77" t="s">
        <v>28</v>
      </c>
      <c r="B77">
        <v>5087</v>
      </c>
      <c r="C77" t="s">
        <v>35</v>
      </c>
      <c r="D77" t="s">
        <v>15</v>
      </c>
      <c r="E77">
        <v>7.4</v>
      </c>
      <c r="F77" s="3">
        <v>48748.13</v>
      </c>
      <c r="G77">
        <v>98.69</v>
      </c>
      <c r="H77" t="s">
        <v>19</v>
      </c>
    </row>
    <row r="78" spans="1:8" x14ac:dyDescent="0.25">
      <c r="A78" t="s">
        <v>28</v>
      </c>
      <c r="B78">
        <v>5087</v>
      </c>
      <c r="C78" t="s">
        <v>35</v>
      </c>
      <c r="D78" t="s">
        <v>16</v>
      </c>
      <c r="E78">
        <v>7.4</v>
      </c>
      <c r="F78" s="3">
        <v>21667.4</v>
      </c>
      <c r="G78">
        <v>129.56</v>
      </c>
      <c r="H78" t="s">
        <v>19</v>
      </c>
    </row>
    <row r="79" spans="1:8" x14ac:dyDescent="0.25">
      <c r="A79" t="s">
        <v>28</v>
      </c>
      <c r="B79">
        <v>5087</v>
      </c>
      <c r="C79" t="s">
        <v>35</v>
      </c>
      <c r="D79" t="s">
        <v>17</v>
      </c>
      <c r="E79">
        <v>13.35</v>
      </c>
      <c r="F79" s="3">
        <v>17736.830000000002</v>
      </c>
      <c r="G79">
        <v>51.46</v>
      </c>
      <c r="H79" t="s">
        <v>19</v>
      </c>
    </row>
    <row r="80" spans="1:8" x14ac:dyDescent="0.25">
      <c r="A80" t="s">
        <v>28</v>
      </c>
      <c r="B80">
        <v>5087</v>
      </c>
      <c r="C80" t="s">
        <v>35</v>
      </c>
      <c r="D80" t="s">
        <v>18</v>
      </c>
      <c r="E80">
        <v>9.36</v>
      </c>
      <c r="F80" s="3">
        <v>23508.11</v>
      </c>
      <c r="G80">
        <v>135.08000000000001</v>
      </c>
      <c r="H80" t="s">
        <v>19</v>
      </c>
    </row>
    <row r="81" spans="1:8" x14ac:dyDescent="0.25">
      <c r="A81" t="s">
        <v>28</v>
      </c>
      <c r="B81">
        <v>5087</v>
      </c>
      <c r="C81" t="s">
        <v>35</v>
      </c>
      <c r="D81" t="s">
        <v>20</v>
      </c>
      <c r="E81">
        <v>5.5</v>
      </c>
      <c r="F81" s="3">
        <v>29621.18</v>
      </c>
      <c r="G81">
        <v>114.01</v>
      </c>
      <c r="H81" t="s">
        <v>19</v>
      </c>
    </row>
    <row r="82" spans="1:8" x14ac:dyDescent="0.25">
      <c r="A82" t="s">
        <v>28</v>
      </c>
      <c r="B82">
        <v>5087</v>
      </c>
      <c r="C82" t="s">
        <v>35</v>
      </c>
      <c r="D82" t="s">
        <v>21</v>
      </c>
      <c r="E82">
        <v>13.63</v>
      </c>
      <c r="F82" s="3">
        <v>35433.599999999999</v>
      </c>
      <c r="G82">
        <v>52.11</v>
      </c>
      <c r="H82" t="s">
        <v>19</v>
      </c>
    </row>
    <row r="83" spans="1:8" x14ac:dyDescent="0.25">
      <c r="A83" t="s">
        <v>28</v>
      </c>
      <c r="B83">
        <v>5087</v>
      </c>
      <c r="C83" t="s">
        <v>35</v>
      </c>
      <c r="D83" t="s">
        <v>22</v>
      </c>
      <c r="E83">
        <v>13.13</v>
      </c>
      <c r="F83" s="3">
        <v>33748.160000000003</v>
      </c>
      <c r="G83">
        <v>113.74</v>
      </c>
      <c r="H83" t="s">
        <v>19</v>
      </c>
    </row>
    <row r="84" spans="1:8" x14ac:dyDescent="0.25">
      <c r="A84" t="s">
        <v>28</v>
      </c>
      <c r="B84">
        <v>5087</v>
      </c>
      <c r="C84" t="s">
        <v>35</v>
      </c>
      <c r="D84" t="s">
        <v>23</v>
      </c>
      <c r="E84">
        <v>10.73</v>
      </c>
      <c r="F84" s="3">
        <v>20885.36</v>
      </c>
      <c r="G84">
        <v>76.11</v>
      </c>
      <c r="H84" t="s">
        <v>19</v>
      </c>
    </row>
    <row r="85" spans="1:8" x14ac:dyDescent="0.25">
      <c r="A85" t="s">
        <v>28</v>
      </c>
      <c r="B85">
        <v>5087</v>
      </c>
      <c r="C85" t="s">
        <v>35</v>
      </c>
      <c r="D85" t="s">
        <v>24</v>
      </c>
      <c r="E85">
        <v>8.24</v>
      </c>
      <c r="F85" s="3">
        <v>29599.85</v>
      </c>
      <c r="G85">
        <v>77.819999999999993</v>
      </c>
      <c r="H85" t="s">
        <v>19</v>
      </c>
    </row>
    <row r="86" spans="1:8" x14ac:dyDescent="0.25">
      <c r="A86" t="s">
        <v>26</v>
      </c>
      <c r="B86">
        <v>5088</v>
      </c>
      <c r="C86" t="s">
        <v>36</v>
      </c>
      <c r="D86" t="s">
        <v>8</v>
      </c>
      <c r="E86">
        <v>9.76</v>
      </c>
      <c r="F86" s="3">
        <v>43740.29</v>
      </c>
      <c r="G86">
        <v>116.48</v>
      </c>
      <c r="H86" t="s">
        <v>19</v>
      </c>
    </row>
    <row r="87" spans="1:8" x14ac:dyDescent="0.25">
      <c r="A87" t="s">
        <v>26</v>
      </c>
      <c r="B87">
        <v>5088</v>
      </c>
      <c r="C87" t="s">
        <v>36</v>
      </c>
      <c r="D87" t="s">
        <v>10</v>
      </c>
      <c r="E87">
        <v>8.51</v>
      </c>
      <c r="F87" s="3">
        <v>24922.77</v>
      </c>
      <c r="G87">
        <v>78.89</v>
      </c>
      <c r="H87" t="s">
        <v>19</v>
      </c>
    </row>
    <row r="88" spans="1:8" x14ac:dyDescent="0.25">
      <c r="A88" t="s">
        <v>26</v>
      </c>
      <c r="B88">
        <v>5088</v>
      </c>
      <c r="C88" t="s">
        <v>36</v>
      </c>
      <c r="D88" t="s">
        <v>13</v>
      </c>
      <c r="E88">
        <v>6.15</v>
      </c>
      <c r="F88" s="3">
        <v>34863.18</v>
      </c>
      <c r="G88">
        <v>71.22</v>
      </c>
      <c r="H88" t="s">
        <v>19</v>
      </c>
    </row>
    <row r="89" spans="1:8" x14ac:dyDescent="0.25">
      <c r="A89" t="s">
        <v>26</v>
      </c>
      <c r="B89">
        <v>5088</v>
      </c>
      <c r="C89" t="s">
        <v>36</v>
      </c>
      <c r="D89" t="s">
        <v>15</v>
      </c>
      <c r="E89">
        <v>6.59</v>
      </c>
      <c r="F89" s="3">
        <v>12068.11</v>
      </c>
      <c r="G89">
        <v>85.94</v>
      </c>
      <c r="H89" t="s">
        <v>19</v>
      </c>
    </row>
    <row r="90" spans="1:8" x14ac:dyDescent="0.25">
      <c r="A90" t="s">
        <v>26</v>
      </c>
      <c r="B90">
        <v>5088</v>
      </c>
      <c r="C90" t="s">
        <v>36</v>
      </c>
      <c r="D90" t="s">
        <v>16</v>
      </c>
      <c r="E90">
        <v>12.15</v>
      </c>
      <c r="F90" s="3">
        <v>44174.13</v>
      </c>
      <c r="G90">
        <v>92.1</v>
      </c>
      <c r="H90" t="s">
        <v>19</v>
      </c>
    </row>
    <row r="91" spans="1:8" x14ac:dyDescent="0.25">
      <c r="A91" t="s">
        <v>26</v>
      </c>
      <c r="B91">
        <v>5088</v>
      </c>
      <c r="C91" t="s">
        <v>36</v>
      </c>
      <c r="D91" t="s">
        <v>17</v>
      </c>
      <c r="E91">
        <v>13.25</v>
      </c>
      <c r="F91" s="3">
        <v>33925.18</v>
      </c>
      <c r="G91">
        <v>51.32</v>
      </c>
      <c r="H91" t="s">
        <v>19</v>
      </c>
    </row>
    <row r="92" spans="1:8" x14ac:dyDescent="0.25">
      <c r="A92" t="s">
        <v>26</v>
      </c>
      <c r="B92">
        <v>5088</v>
      </c>
      <c r="C92" t="s">
        <v>36</v>
      </c>
      <c r="D92" t="s">
        <v>18</v>
      </c>
      <c r="E92">
        <v>9.75</v>
      </c>
      <c r="F92" s="3">
        <v>45587.54</v>
      </c>
      <c r="G92">
        <v>50.73</v>
      </c>
      <c r="H92" t="s">
        <v>19</v>
      </c>
    </row>
    <row r="93" spans="1:8" x14ac:dyDescent="0.25">
      <c r="A93" t="s">
        <v>26</v>
      </c>
      <c r="B93">
        <v>5088</v>
      </c>
      <c r="C93" t="s">
        <v>36</v>
      </c>
      <c r="D93" t="s">
        <v>20</v>
      </c>
      <c r="E93">
        <v>9.3699999999999992</v>
      </c>
      <c r="F93" s="3">
        <v>38132.46</v>
      </c>
      <c r="G93">
        <v>55.97</v>
      </c>
      <c r="H93" t="s">
        <v>19</v>
      </c>
    </row>
    <row r="94" spans="1:8" x14ac:dyDescent="0.25">
      <c r="A94" t="s">
        <v>26</v>
      </c>
      <c r="B94">
        <v>5088</v>
      </c>
      <c r="C94" t="s">
        <v>36</v>
      </c>
      <c r="D94" t="s">
        <v>21</v>
      </c>
      <c r="E94">
        <v>8.6999999999999993</v>
      </c>
      <c r="F94" s="3">
        <v>24667.06</v>
      </c>
      <c r="G94">
        <v>124.61</v>
      </c>
      <c r="H94" t="s">
        <v>19</v>
      </c>
    </row>
    <row r="95" spans="1:8" x14ac:dyDescent="0.25">
      <c r="A95" t="s">
        <v>26</v>
      </c>
      <c r="B95">
        <v>5088</v>
      </c>
      <c r="C95" t="s">
        <v>36</v>
      </c>
      <c r="D95" t="s">
        <v>22</v>
      </c>
      <c r="E95">
        <v>9.59</v>
      </c>
      <c r="F95" s="3">
        <v>38184.75</v>
      </c>
      <c r="G95">
        <v>105.5</v>
      </c>
      <c r="H95" t="s">
        <v>19</v>
      </c>
    </row>
    <row r="96" spans="1:8" x14ac:dyDescent="0.25">
      <c r="A96" t="s">
        <v>26</v>
      </c>
      <c r="B96">
        <v>5088</v>
      </c>
      <c r="C96" t="s">
        <v>36</v>
      </c>
      <c r="D96" t="s">
        <v>23</v>
      </c>
      <c r="E96">
        <v>7.59</v>
      </c>
      <c r="F96" s="3">
        <v>49632.34</v>
      </c>
      <c r="G96">
        <v>65.62</v>
      </c>
      <c r="H96" t="s">
        <v>19</v>
      </c>
    </row>
    <row r="97" spans="1:8" x14ac:dyDescent="0.25">
      <c r="A97" t="s">
        <v>26</v>
      </c>
      <c r="B97">
        <v>5088</v>
      </c>
      <c r="C97" t="s">
        <v>36</v>
      </c>
      <c r="D97" t="s">
        <v>24</v>
      </c>
      <c r="E97">
        <v>12.11</v>
      </c>
      <c r="F97" s="3">
        <v>47124.14</v>
      </c>
      <c r="G97">
        <v>52.35</v>
      </c>
      <c r="H97" t="s">
        <v>19</v>
      </c>
    </row>
    <row r="98" spans="1:8" x14ac:dyDescent="0.25">
      <c r="A98" t="s">
        <v>30</v>
      </c>
      <c r="B98">
        <v>5089</v>
      </c>
      <c r="C98" t="s">
        <v>37</v>
      </c>
      <c r="D98" t="s">
        <v>8</v>
      </c>
      <c r="E98">
        <v>11.38</v>
      </c>
      <c r="F98" s="3">
        <v>40935.85</v>
      </c>
      <c r="G98">
        <v>140.97999999999999</v>
      </c>
      <c r="H98" t="s">
        <v>19</v>
      </c>
    </row>
    <row r="99" spans="1:8" x14ac:dyDescent="0.25">
      <c r="A99" t="s">
        <v>30</v>
      </c>
      <c r="B99">
        <v>5089</v>
      </c>
      <c r="C99" t="s">
        <v>37</v>
      </c>
      <c r="D99" t="s">
        <v>10</v>
      </c>
      <c r="E99">
        <v>14.31</v>
      </c>
      <c r="F99" s="3">
        <v>37429.49</v>
      </c>
      <c r="G99">
        <v>128.51</v>
      </c>
      <c r="H99" t="s">
        <v>19</v>
      </c>
    </row>
    <row r="100" spans="1:8" x14ac:dyDescent="0.25">
      <c r="A100" t="s">
        <v>30</v>
      </c>
      <c r="B100">
        <v>5089</v>
      </c>
      <c r="C100" t="s">
        <v>37</v>
      </c>
      <c r="D100" t="s">
        <v>13</v>
      </c>
      <c r="E100">
        <v>13.88</v>
      </c>
      <c r="F100" s="3">
        <v>46327.68</v>
      </c>
      <c r="G100">
        <v>116.82</v>
      </c>
      <c r="H100" t="s">
        <v>19</v>
      </c>
    </row>
    <row r="101" spans="1:8" x14ac:dyDescent="0.25">
      <c r="A101" t="s">
        <v>30</v>
      </c>
      <c r="B101">
        <v>5089</v>
      </c>
      <c r="C101" t="s">
        <v>37</v>
      </c>
      <c r="D101" t="s">
        <v>15</v>
      </c>
      <c r="E101">
        <v>7.44</v>
      </c>
      <c r="F101" s="3">
        <v>29888.32</v>
      </c>
      <c r="G101">
        <v>97.45</v>
      </c>
      <c r="H101" t="s">
        <v>19</v>
      </c>
    </row>
    <row r="102" spans="1:8" x14ac:dyDescent="0.25">
      <c r="A102" t="s">
        <v>30</v>
      </c>
      <c r="B102">
        <v>5089</v>
      </c>
      <c r="C102" t="s">
        <v>37</v>
      </c>
      <c r="D102" t="s">
        <v>16</v>
      </c>
      <c r="E102">
        <v>12.56</v>
      </c>
      <c r="F102" s="3">
        <v>43031.44</v>
      </c>
      <c r="G102">
        <v>124.7</v>
      </c>
      <c r="H102" t="s">
        <v>19</v>
      </c>
    </row>
    <row r="103" spans="1:8" x14ac:dyDescent="0.25">
      <c r="A103" t="s">
        <v>30</v>
      </c>
      <c r="B103">
        <v>5089</v>
      </c>
      <c r="C103" t="s">
        <v>37</v>
      </c>
      <c r="D103" t="s">
        <v>17</v>
      </c>
      <c r="E103">
        <v>14.32</v>
      </c>
      <c r="F103" s="3">
        <v>31407.23</v>
      </c>
      <c r="G103">
        <v>106.03</v>
      </c>
      <c r="H103" t="s">
        <v>19</v>
      </c>
    </row>
    <row r="104" spans="1:8" x14ac:dyDescent="0.25">
      <c r="A104" t="s">
        <v>30</v>
      </c>
      <c r="B104">
        <v>5089</v>
      </c>
      <c r="C104" t="s">
        <v>37</v>
      </c>
      <c r="D104" t="s">
        <v>18</v>
      </c>
      <c r="E104">
        <v>11.92</v>
      </c>
      <c r="F104" s="3">
        <v>28908.14</v>
      </c>
      <c r="G104">
        <v>81.8</v>
      </c>
      <c r="H104" t="s">
        <v>19</v>
      </c>
    </row>
    <row r="105" spans="1:8" x14ac:dyDescent="0.25">
      <c r="A105" t="s">
        <v>30</v>
      </c>
      <c r="B105">
        <v>5089</v>
      </c>
      <c r="C105" t="s">
        <v>37</v>
      </c>
      <c r="D105" t="s">
        <v>20</v>
      </c>
      <c r="E105">
        <v>5.43</v>
      </c>
      <c r="F105" s="3">
        <v>30283.439999999999</v>
      </c>
      <c r="G105">
        <v>119.46</v>
      </c>
      <c r="H105" t="s">
        <v>19</v>
      </c>
    </row>
    <row r="106" spans="1:8" x14ac:dyDescent="0.25">
      <c r="A106" t="s">
        <v>30</v>
      </c>
      <c r="B106">
        <v>5089</v>
      </c>
      <c r="C106" t="s">
        <v>37</v>
      </c>
      <c r="D106" t="s">
        <v>21</v>
      </c>
      <c r="E106">
        <v>5.97</v>
      </c>
      <c r="F106" s="3">
        <v>19821.900000000001</v>
      </c>
      <c r="G106">
        <v>108.17</v>
      </c>
      <c r="H106" t="s">
        <v>19</v>
      </c>
    </row>
    <row r="107" spans="1:8" x14ac:dyDescent="0.25">
      <c r="A107" t="s">
        <v>30</v>
      </c>
      <c r="B107">
        <v>5089</v>
      </c>
      <c r="C107" t="s">
        <v>37</v>
      </c>
      <c r="D107" t="s">
        <v>22</v>
      </c>
      <c r="E107">
        <v>5.34</v>
      </c>
      <c r="F107" s="3">
        <v>10220.23</v>
      </c>
      <c r="G107">
        <v>117.45</v>
      </c>
      <c r="H107" t="s">
        <v>19</v>
      </c>
    </row>
    <row r="108" spans="1:8" x14ac:dyDescent="0.25">
      <c r="A108" t="s">
        <v>30</v>
      </c>
      <c r="B108">
        <v>5089</v>
      </c>
      <c r="C108" t="s">
        <v>37</v>
      </c>
      <c r="D108" t="s">
        <v>23</v>
      </c>
      <c r="E108">
        <v>5.58</v>
      </c>
      <c r="F108" s="3">
        <v>46906.45</v>
      </c>
      <c r="G108">
        <v>146.44999999999999</v>
      </c>
      <c r="H108" t="s">
        <v>19</v>
      </c>
    </row>
    <row r="109" spans="1:8" x14ac:dyDescent="0.25">
      <c r="A109" t="s">
        <v>30</v>
      </c>
      <c r="B109">
        <v>5089</v>
      </c>
      <c r="C109" t="s">
        <v>37</v>
      </c>
      <c r="D109" t="s">
        <v>24</v>
      </c>
      <c r="E109">
        <v>12.88</v>
      </c>
      <c r="F109" s="3">
        <v>41684.870000000003</v>
      </c>
      <c r="G109">
        <v>104.12</v>
      </c>
      <c r="H109" t="s">
        <v>19</v>
      </c>
    </row>
    <row r="110" spans="1:8" x14ac:dyDescent="0.25">
      <c r="A110" t="s">
        <v>30</v>
      </c>
      <c r="B110">
        <v>5120</v>
      </c>
      <c r="C110" t="s">
        <v>38</v>
      </c>
      <c r="D110" t="s">
        <v>8</v>
      </c>
      <c r="E110">
        <v>9.4499999999999993</v>
      </c>
      <c r="F110" s="3">
        <v>35146.68</v>
      </c>
      <c r="G110">
        <v>117.15</v>
      </c>
      <c r="H110" t="s">
        <v>19</v>
      </c>
    </row>
    <row r="111" spans="1:8" x14ac:dyDescent="0.25">
      <c r="A111" t="s">
        <v>30</v>
      </c>
      <c r="B111">
        <v>5120</v>
      </c>
      <c r="C111" t="s">
        <v>38</v>
      </c>
      <c r="D111" t="s">
        <v>10</v>
      </c>
      <c r="E111">
        <v>11.49</v>
      </c>
      <c r="F111" s="3">
        <v>36211.5</v>
      </c>
      <c r="G111">
        <v>77.209999999999994</v>
      </c>
      <c r="H111" t="s">
        <v>19</v>
      </c>
    </row>
    <row r="112" spans="1:8" x14ac:dyDescent="0.25">
      <c r="A112" t="s">
        <v>30</v>
      </c>
      <c r="B112">
        <v>5120</v>
      </c>
      <c r="C112" t="s">
        <v>38</v>
      </c>
      <c r="D112" t="s">
        <v>13</v>
      </c>
      <c r="E112">
        <v>13.58</v>
      </c>
      <c r="F112" s="3">
        <v>20310.810000000001</v>
      </c>
      <c r="G112">
        <v>127.04</v>
      </c>
      <c r="H112" t="s">
        <v>19</v>
      </c>
    </row>
    <row r="113" spans="1:8" x14ac:dyDescent="0.25">
      <c r="A113" t="s">
        <v>30</v>
      </c>
      <c r="B113">
        <v>5120</v>
      </c>
      <c r="C113" t="s">
        <v>38</v>
      </c>
      <c r="D113" t="s">
        <v>15</v>
      </c>
      <c r="E113">
        <v>6.66</v>
      </c>
      <c r="F113" s="3">
        <v>12609.27</v>
      </c>
      <c r="G113">
        <v>122.15</v>
      </c>
      <c r="H113" t="s">
        <v>19</v>
      </c>
    </row>
    <row r="114" spans="1:8" x14ac:dyDescent="0.25">
      <c r="A114" t="s">
        <v>30</v>
      </c>
      <c r="B114">
        <v>5120</v>
      </c>
      <c r="C114" t="s">
        <v>38</v>
      </c>
      <c r="D114" t="s">
        <v>16</v>
      </c>
      <c r="E114">
        <v>6.22</v>
      </c>
      <c r="F114" s="3">
        <v>42708.06</v>
      </c>
      <c r="G114">
        <v>64.53</v>
      </c>
      <c r="H114" t="s">
        <v>19</v>
      </c>
    </row>
    <row r="115" spans="1:8" x14ac:dyDescent="0.25">
      <c r="A115" t="s">
        <v>30</v>
      </c>
      <c r="B115">
        <v>5120</v>
      </c>
      <c r="C115" t="s">
        <v>38</v>
      </c>
      <c r="D115" t="s">
        <v>17</v>
      </c>
      <c r="E115">
        <v>6.85</v>
      </c>
      <c r="F115" s="3">
        <v>19142.36</v>
      </c>
      <c r="G115">
        <v>70.319999999999993</v>
      </c>
      <c r="H115" t="s">
        <v>19</v>
      </c>
    </row>
    <row r="116" spans="1:8" x14ac:dyDescent="0.25">
      <c r="A116" t="s">
        <v>30</v>
      </c>
      <c r="B116">
        <v>5120</v>
      </c>
      <c r="C116" t="s">
        <v>38</v>
      </c>
      <c r="D116" t="s">
        <v>18</v>
      </c>
      <c r="E116">
        <v>5.03</v>
      </c>
      <c r="F116" s="3">
        <v>14203.09</v>
      </c>
      <c r="G116">
        <v>62.82</v>
      </c>
      <c r="H116" t="s">
        <v>19</v>
      </c>
    </row>
    <row r="117" spans="1:8" x14ac:dyDescent="0.25">
      <c r="A117" t="s">
        <v>30</v>
      </c>
      <c r="B117">
        <v>5120</v>
      </c>
      <c r="C117" t="s">
        <v>38</v>
      </c>
      <c r="D117" t="s">
        <v>20</v>
      </c>
      <c r="E117">
        <v>11.93</v>
      </c>
      <c r="F117" s="3">
        <v>15746.29</v>
      </c>
      <c r="G117">
        <v>145.69</v>
      </c>
      <c r="H117" t="s">
        <v>19</v>
      </c>
    </row>
    <row r="118" spans="1:8" x14ac:dyDescent="0.25">
      <c r="A118" t="s">
        <v>30</v>
      </c>
      <c r="B118">
        <v>5120</v>
      </c>
      <c r="C118" t="s">
        <v>38</v>
      </c>
      <c r="D118" t="s">
        <v>21</v>
      </c>
      <c r="E118">
        <v>13.53</v>
      </c>
      <c r="F118" s="3">
        <v>45497.279999999999</v>
      </c>
      <c r="G118">
        <v>83.9</v>
      </c>
      <c r="H118" t="s">
        <v>19</v>
      </c>
    </row>
    <row r="119" spans="1:8" x14ac:dyDescent="0.25">
      <c r="A119" t="s">
        <v>30</v>
      </c>
      <c r="B119">
        <v>5120</v>
      </c>
      <c r="C119" t="s">
        <v>38</v>
      </c>
      <c r="D119" t="s">
        <v>22</v>
      </c>
      <c r="E119">
        <v>5.29</v>
      </c>
      <c r="F119" s="3">
        <v>38006.69</v>
      </c>
      <c r="G119">
        <v>59.71</v>
      </c>
      <c r="H119" t="s">
        <v>19</v>
      </c>
    </row>
    <row r="120" spans="1:8" x14ac:dyDescent="0.25">
      <c r="A120" t="s">
        <v>30</v>
      </c>
      <c r="B120">
        <v>5120</v>
      </c>
      <c r="C120" t="s">
        <v>38</v>
      </c>
      <c r="D120" t="s">
        <v>23</v>
      </c>
      <c r="E120">
        <v>8.82</v>
      </c>
      <c r="F120" s="3">
        <v>21401.89</v>
      </c>
      <c r="G120">
        <v>102.78</v>
      </c>
      <c r="H120" t="s">
        <v>19</v>
      </c>
    </row>
    <row r="121" spans="1:8" x14ac:dyDescent="0.25">
      <c r="A121" t="s">
        <v>30</v>
      </c>
      <c r="B121">
        <v>5120</v>
      </c>
      <c r="C121" t="s">
        <v>38</v>
      </c>
      <c r="D121" t="s">
        <v>24</v>
      </c>
      <c r="E121">
        <v>12.24</v>
      </c>
      <c r="F121" s="3">
        <v>43479.19</v>
      </c>
      <c r="G121">
        <v>130.13999999999999</v>
      </c>
      <c r="H121" t="s">
        <v>19</v>
      </c>
    </row>
    <row r="122" spans="1:8" x14ac:dyDescent="0.25">
      <c r="A122" t="s">
        <v>30</v>
      </c>
      <c r="B122">
        <v>5221</v>
      </c>
      <c r="C122" t="s">
        <v>39</v>
      </c>
      <c r="D122" t="s">
        <v>8</v>
      </c>
      <c r="E122">
        <v>11.85</v>
      </c>
      <c r="F122" s="3">
        <v>43946.73</v>
      </c>
      <c r="G122">
        <v>128.91999999999999</v>
      </c>
      <c r="H122" t="s">
        <v>19</v>
      </c>
    </row>
    <row r="123" spans="1:8" x14ac:dyDescent="0.25">
      <c r="A123" t="s">
        <v>30</v>
      </c>
      <c r="B123">
        <v>5221</v>
      </c>
      <c r="C123" t="s">
        <v>39</v>
      </c>
      <c r="D123" t="s">
        <v>10</v>
      </c>
      <c r="E123">
        <v>14.3</v>
      </c>
      <c r="F123" s="3">
        <v>18944.88</v>
      </c>
      <c r="G123">
        <v>66.849999999999994</v>
      </c>
      <c r="H123" t="s">
        <v>19</v>
      </c>
    </row>
    <row r="124" spans="1:8" x14ac:dyDescent="0.25">
      <c r="A124" t="s">
        <v>30</v>
      </c>
      <c r="B124">
        <v>5221</v>
      </c>
      <c r="C124" t="s">
        <v>39</v>
      </c>
      <c r="D124" t="s">
        <v>13</v>
      </c>
      <c r="E124">
        <v>12.41</v>
      </c>
      <c r="F124" s="3">
        <v>30963.84</v>
      </c>
      <c r="G124">
        <v>121.85</v>
      </c>
      <c r="H124" t="s">
        <v>19</v>
      </c>
    </row>
    <row r="125" spans="1:8" x14ac:dyDescent="0.25">
      <c r="A125" t="s">
        <v>30</v>
      </c>
      <c r="B125">
        <v>5221</v>
      </c>
      <c r="C125" t="s">
        <v>39</v>
      </c>
      <c r="D125" t="s">
        <v>15</v>
      </c>
      <c r="E125">
        <v>12.88</v>
      </c>
      <c r="F125" s="3">
        <v>45347.14</v>
      </c>
      <c r="G125">
        <v>118.79</v>
      </c>
      <c r="H125" t="s">
        <v>19</v>
      </c>
    </row>
    <row r="126" spans="1:8" x14ac:dyDescent="0.25">
      <c r="A126" t="s">
        <v>30</v>
      </c>
      <c r="B126">
        <v>5221</v>
      </c>
      <c r="C126" t="s">
        <v>39</v>
      </c>
      <c r="D126" t="s">
        <v>16</v>
      </c>
      <c r="E126">
        <v>5.97</v>
      </c>
      <c r="F126" s="3">
        <v>48614.6</v>
      </c>
      <c r="G126">
        <v>134.33000000000001</v>
      </c>
      <c r="H126" t="s">
        <v>19</v>
      </c>
    </row>
    <row r="127" spans="1:8" x14ac:dyDescent="0.25">
      <c r="A127" t="s">
        <v>30</v>
      </c>
      <c r="B127">
        <v>5221</v>
      </c>
      <c r="C127" t="s">
        <v>39</v>
      </c>
      <c r="D127" t="s">
        <v>17</v>
      </c>
      <c r="E127">
        <v>9.24</v>
      </c>
      <c r="F127" s="3">
        <v>30347.8</v>
      </c>
      <c r="G127">
        <v>128.22999999999999</v>
      </c>
      <c r="H127" t="s">
        <v>19</v>
      </c>
    </row>
    <row r="128" spans="1:8" x14ac:dyDescent="0.25">
      <c r="A128" t="s">
        <v>30</v>
      </c>
      <c r="B128">
        <v>5221</v>
      </c>
      <c r="C128" t="s">
        <v>39</v>
      </c>
      <c r="D128" t="s">
        <v>18</v>
      </c>
      <c r="E128">
        <v>6.82</v>
      </c>
      <c r="F128" s="3">
        <v>36120.89</v>
      </c>
      <c r="G128">
        <v>85.23</v>
      </c>
      <c r="H128" t="s">
        <v>19</v>
      </c>
    </row>
    <row r="129" spans="1:8" x14ac:dyDescent="0.25">
      <c r="A129" t="s">
        <v>30</v>
      </c>
      <c r="B129">
        <v>5221</v>
      </c>
      <c r="C129" t="s">
        <v>39</v>
      </c>
      <c r="D129" t="s">
        <v>20</v>
      </c>
      <c r="E129">
        <v>11.31</v>
      </c>
      <c r="F129" s="3">
        <v>20363.63</v>
      </c>
      <c r="G129">
        <v>120.14</v>
      </c>
      <c r="H129" t="s">
        <v>19</v>
      </c>
    </row>
    <row r="130" spans="1:8" x14ac:dyDescent="0.25">
      <c r="A130" t="s">
        <v>30</v>
      </c>
      <c r="B130">
        <v>5221</v>
      </c>
      <c r="C130" t="s">
        <v>39</v>
      </c>
      <c r="D130" t="s">
        <v>21</v>
      </c>
      <c r="E130">
        <v>6.99</v>
      </c>
      <c r="F130" s="3">
        <v>31992.7</v>
      </c>
      <c r="G130">
        <v>85.89</v>
      </c>
      <c r="H130" t="s">
        <v>19</v>
      </c>
    </row>
    <row r="131" spans="1:8" x14ac:dyDescent="0.25">
      <c r="A131" t="s">
        <v>30</v>
      </c>
      <c r="B131">
        <v>5221</v>
      </c>
      <c r="C131" t="s">
        <v>39</v>
      </c>
      <c r="D131" t="s">
        <v>22</v>
      </c>
      <c r="E131">
        <v>8.8000000000000007</v>
      </c>
      <c r="F131" s="3">
        <v>36345.31</v>
      </c>
      <c r="G131">
        <v>85.98</v>
      </c>
      <c r="H131" t="s">
        <v>19</v>
      </c>
    </row>
    <row r="132" spans="1:8" x14ac:dyDescent="0.25">
      <c r="A132" t="s">
        <v>30</v>
      </c>
      <c r="B132">
        <v>5221</v>
      </c>
      <c r="C132" t="s">
        <v>39</v>
      </c>
      <c r="D132" t="s">
        <v>23</v>
      </c>
      <c r="E132">
        <v>12.35</v>
      </c>
      <c r="F132" s="3">
        <v>44565.06</v>
      </c>
      <c r="G132">
        <v>80.63</v>
      </c>
      <c r="H132" t="s">
        <v>19</v>
      </c>
    </row>
    <row r="133" spans="1:8" x14ac:dyDescent="0.25">
      <c r="A133" t="s">
        <v>30</v>
      </c>
      <c r="B133">
        <v>5221</v>
      </c>
      <c r="C133" t="s">
        <v>39</v>
      </c>
      <c r="D133" t="s">
        <v>24</v>
      </c>
      <c r="E133">
        <v>11.62</v>
      </c>
      <c r="F133" s="3">
        <v>21626.23</v>
      </c>
      <c r="G133">
        <v>56.31</v>
      </c>
      <c r="H133" t="s">
        <v>19</v>
      </c>
    </row>
    <row r="134" spans="1:8" x14ac:dyDescent="0.25">
      <c r="A134" t="s">
        <v>26</v>
      </c>
      <c r="B134">
        <v>5250</v>
      </c>
      <c r="C134" t="s">
        <v>40</v>
      </c>
      <c r="D134" t="s">
        <v>8</v>
      </c>
      <c r="E134">
        <v>14.1</v>
      </c>
      <c r="F134" s="3">
        <v>48102.34</v>
      </c>
      <c r="G134">
        <v>148.91999999999999</v>
      </c>
      <c r="H134" t="s">
        <v>19</v>
      </c>
    </row>
    <row r="135" spans="1:8" x14ac:dyDescent="0.25">
      <c r="A135" t="s">
        <v>26</v>
      </c>
      <c r="B135">
        <v>5250</v>
      </c>
      <c r="C135" t="s">
        <v>40</v>
      </c>
      <c r="D135" t="s">
        <v>10</v>
      </c>
      <c r="E135">
        <v>5.75</v>
      </c>
      <c r="F135" s="3">
        <v>35668.67</v>
      </c>
      <c r="G135">
        <v>138.13999999999999</v>
      </c>
      <c r="H135" t="s">
        <v>19</v>
      </c>
    </row>
    <row r="136" spans="1:8" x14ac:dyDescent="0.25">
      <c r="A136" t="s">
        <v>26</v>
      </c>
      <c r="B136">
        <v>5250</v>
      </c>
      <c r="C136" t="s">
        <v>40</v>
      </c>
      <c r="D136" t="s">
        <v>13</v>
      </c>
      <c r="E136">
        <v>12.58</v>
      </c>
      <c r="F136" s="3">
        <v>39258.089999999997</v>
      </c>
      <c r="G136">
        <v>98.32</v>
      </c>
      <c r="H136" t="s">
        <v>19</v>
      </c>
    </row>
    <row r="137" spans="1:8" x14ac:dyDescent="0.25">
      <c r="A137" t="s">
        <v>26</v>
      </c>
      <c r="B137">
        <v>5250</v>
      </c>
      <c r="C137" t="s">
        <v>40</v>
      </c>
      <c r="D137" t="s">
        <v>15</v>
      </c>
      <c r="E137">
        <v>7.9</v>
      </c>
      <c r="F137" s="3">
        <v>46431.76</v>
      </c>
      <c r="G137">
        <v>109.2</v>
      </c>
      <c r="H137" t="s">
        <v>19</v>
      </c>
    </row>
    <row r="138" spans="1:8" x14ac:dyDescent="0.25">
      <c r="A138" t="s">
        <v>26</v>
      </c>
      <c r="B138">
        <v>5250</v>
      </c>
      <c r="C138" t="s">
        <v>40</v>
      </c>
      <c r="D138" t="s">
        <v>16</v>
      </c>
      <c r="E138">
        <v>9.3800000000000008</v>
      </c>
      <c r="F138" s="3">
        <v>43146.06</v>
      </c>
      <c r="G138">
        <v>69.33</v>
      </c>
      <c r="H138" t="s">
        <v>19</v>
      </c>
    </row>
    <row r="139" spans="1:8" x14ac:dyDescent="0.25">
      <c r="A139" t="s">
        <v>26</v>
      </c>
      <c r="B139">
        <v>5250</v>
      </c>
      <c r="C139" t="s">
        <v>40</v>
      </c>
      <c r="D139" t="s">
        <v>17</v>
      </c>
      <c r="E139">
        <v>8.01</v>
      </c>
      <c r="F139" s="3">
        <v>33219.519999999997</v>
      </c>
      <c r="G139">
        <v>82</v>
      </c>
      <c r="H139" t="s">
        <v>19</v>
      </c>
    </row>
    <row r="140" spans="1:8" x14ac:dyDescent="0.25">
      <c r="A140" t="s">
        <v>26</v>
      </c>
      <c r="B140">
        <v>5250</v>
      </c>
      <c r="C140" t="s">
        <v>40</v>
      </c>
      <c r="D140" t="s">
        <v>18</v>
      </c>
      <c r="E140">
        <v>14.92</v>
      </c>
      <c r="F140" s="3">
        <v>22815.919999999998</v>
      </c>
      <c r="G140">
        <v>64.819999999999993</v>
      </c>
      <c r="H140" t="s">
        <v>19</v>
      </c>
    </row>
    <row r="141" spans="1:8" x14ac:dyDescent="0.25">
      <c r="A141" t="s">
        <v>26</v>
      </c>
      <c r="B141">
        <v>5250</v>
      </c>
      <c r="C141" t="s">
        <v>40</v>
      </c>
      <c r="D141" t="s">
        <v>20</v>
      </c>
      <c r="E141">
        <v>13.11</v>
      </c>
      <c r="F141" s="3">
        <v>49118.57</v>
      </c>
      <c r="G141">
        <v>126.91</v>
      </c>
      <c r="H141" t="s">
        <v>19</v>
      </c>
    </row>
    <row r="142" spans="1:8" x14ac:dyDescent="0.25">
      <c r="A142" t="s">
        <v>26</v>
      </c>
      <c r="B142">
        <v>5250</v>
      </c>
      <c r="C142" t="s">
        <v>40</v>
      </c>
      <c r="D142" t="s">
        <v>21</v>
      </c>
      <c r="E142">
        <v>7.15</v>
      </c>
      <c r="F142" s="3">
        <v>27215.88</v>
      </c>
      <c r="G142">
        <v>69.739999999999995</v>
      </c>
      <c r="H142" t="s">
        <v>19</v>
      </c>
    </row>
    <row r="143" spans="1:8" x14ac:dyDescent="0.25">
      <c r="A143" t="s">
        <v>26</v>
      </c>
      <c r="B143">
        <v>5250</v>
      </c>
      <c r="C143" t="s">
        <v>40</v>
      </c>
      <c r="D143" t="s">
        <v>22</v>
      </c>
      <c r="E143">
        <v>6</v>
      </c>
      <c r="F143" s="3">
        <v>29327.4</v>
      </c>
      <c r="G143">
        <v>124.77</v>
      </c>
      <c r="H143" t="s">
        <v>19</v>
      </c>
    </row>
    <row r="144" spans="1:8" x14ac:dyDescent="0.25">
      <c r="A144" t="s">
        <v>26</v>
      </c>
      <c r="B144">
        <v>5250</v>
      </c>
      <c r="C144" t="s">
        <v>40</v>
      </c>
      <c r="D144" t="s">
        <v>23</v>
      </c>
      <c r="E144">
        <v>6.1</v>
      </c>
      <c r="F144" s="3">
        <v>36890.629999999997</v>
      </c>
      <c r="G144">
        <v>115.88</v>
      </c>
      <c r="H144" t="s">
        <v>19</v>
      </c>
    </row>
    <row r="145" spans="1:8" x14ac:dyDescent="0.25">
      <c r="A145" t="s">
        <v>26</v>
      </c>
      <c r="B145">
        <v>5250</v>
      </c>
      <c r="C145" t="s">
        <v>40</v>
      </c>
      <c r="D145" t="s">
        <v>24</v>
      </c>
      <c r="E145">
        <v>9.8000000000000007</v>
      </c>
      <c r="F145" s="3">
        <v>29155.52</v>
      </c>
      <c r="G145">
        <v>91.56</v>
      </c>
      <c r="H145" t="s">
        <v>19</v>
      </c>
    </row>
    <row r="146" spans="1:8" x14ac:dyDescent="0.25">
      <c r="A146" t="s">
        <v>28</v>
      </c>
      <c r="B146">
        <v>5639</v>
      </c>
      <c r="C146" t="s">
        <v>41</v>
      </c>
      <c r="D146" t="s">
        <v>8</v>
      </c>
      <c r="E146">
        <v>6.71</v>
      </c>
      <c r="F146" s="3">
        <v>27602.14</v>
      </c>
      <c r="G146">
        <v>62.48</v>
      </c>
      <c r="H146" t="s">
        <v>19</v>
      </c>
    </row>
    <row r="147" spans="1:8" x14ac:dyDescent="0.25">
      <c r="A147" t="s">
        <v>28</v>
      </c>
      <c r="B147">
        <v>5639</v>
      </c>
      <c r="C147" t="s">
        <v>41</v>
      </c>
      <c r="D147" t="s">
        <v>10</v>
      </c>
      <c r="E147">
        <v>10.65</v>
      </c>
      <c r="F147" s="3">
        <v>40167.050000000003</v>
      </c>
      <c r="G147">
        <v>107.14</v>
      </c>
      <c r="H147" t="s">
        <v>19</v>
      </c>
    </row>
    <row r="148" spans="1:8" x14ac:dyDescent="0.25">
      <c r="A148" t="s">
        <v>28</v>
      </c>
      <c r="B148">
        <v>5639</v>
      </c>
      <c r="C148" t="s">
        <v>41</v>
      </c>
      <c r="D148" t="s">
        <v>13</v>
      </c>
      <c r="E148">
        <v>10.56</v>
      </c>
      <c r="F148" s="3">
        <v>28316.12</v>
      </c>
      <c r="G148">
        <v>82.79</v>
      </c>
      <c r="H148" t="s">
        <v>19</v>
      </c>
    </row>
    <row r="149" spans="1:8" x14ac:dyDescent="0.25">
      <c r="A149" t="s">
        <v>28</v>
      </c>
      <c r="B149">
        <v>5639</v>
      </c>
      <c r="C149" t="s">
        <v>41</v>
      </c>
      <c r="D149" t="s">
        <v>15</v>
      </c>
      <c r="E149">
        <v>7.55</v>
      </c>
      <c r="F149" s="3">
        <v>13877.02</v>
      </c>
      <c r="G149">
        <v>126.27</v>
      </c>
      <c r="H149" t="s">
        <v>19</v>
      </c>
    </row>
    <row r="150" spans="1:8" x14ac:dyDescent="0.25">
      <c r="A150" t="s">
        <v>28</v>
      </c>
      <c r="B150">
        <v>5639</v>
      </c>
      <c r="C150" t="s">
        <v>41</v>
      </c>
      <c r="D150" t="s">
        <v>16</v>
      </c>
      <c r="E150">
        <v>5.87</v>
      </c>
      <c r="F150" s="3">
        <v>16173.73</v>
      </c>
      <c r="G150">
        <v>60.47</v>
      </c>
      <c r="H150" t="s">
        <v>19</v>
      </c>
    </row>
    <row r="151" spans="1:8" x14ac:dyDescent="0.25">
      <c r="A151" t="s">
        <v>28</v>
      </c>
      <c r="B151">
        <v>5639</v>
      </c>
      <c r="C151" t="s">
        <v>41</v>
      </c>
      <c r="D151" t="s">
        <v>17</v>
      </c>
      <c r="E151">
        <v>13.13</v>
      </c>
      <c r="F151" s="3">
        <v>28130.42</v>
      </c>
      <c r="G151">
        <v>79.150000000000006</v>
      </c>
      <c r="H151" t="s">
        <v>19</v>
      </c>
    </row>
    <row r="152" spans="1:8" x14ac:dyDescent="0.25">
      <c r="A152" t="s">
        <v>28</v>
      </c>
      <c r="B152">
        <v>5639</v>
      </c>
      <c r="C152" t="s">
        <v>41</v>
      </c>
      <c r="D152" t="s">
        <v>18</v>
      </c>
      <c r="E152">
        <v>13.28</v>
      </c>
      <c r="F152" s="3">
        <v>47457.59</v>
      </c>
      <c r="G152">
        <v>110.8</v>
      </c>
      <c r="H152" t="s">
        <v>19</v>
      </c>
    </row>
    <row r="153" spans="1:8" x14ac:dyDescent="0.25">
      <c r="A153" t="s">
        <v>28</v>
      </c>
      <c r="B153">
        <v>5639</v>
      </c>
      <c r="C153" t="s">
        <v>41</v>
      </c>
      <c r="D153" t="s">
        <v>20</v>
      </c>
      <c r="E153">
        <v>12.41</v>
      </c>
      <c r="F153" s="3">
        <v>29590.06</v>
      </c>
      <c r="G153">
        <v>83.49</v>
      </c>
      <c r="H153" t="s">
        <v>19</v>
      </c>
    </row>
    <row r="154" spans="1:8" x14ac:dyDescent="0.25">
      <c r="A154" t="s">
        <v>28</v>
      </c>
      <c r="B154">
        <v>5639</v>
      </c>
      <c r="C154" t="s">
        <v>41</v>
      </c>
      <c r="D154" t="s">
        <v>21</v>
      </c>
      <c r="E154">
        <v>9.2200000000000006</v>
      </c>
      <c r="F154" s="3">
        <v>25284.97</v>
      </c>
      <c r="G154">
        <v>130.74</v>
      </c>
      <c r="H154" t="s">
        <v>19</v>
      </c>
    </row>
    <row r="155" spans="1:8" x14ac:dyDescent="0.25">
      <c r="A155" t="s">
        <v>28</v>
      </c>
      <c r="B155">
        <v>5639</v>
      </c>
      <c r="C155" t="s">
        <v>41</v>
      </c>
      <c r="D155" t="s">
        <v>22</v>
      </c>
      <c r="E155">
        <v>7.53</v>
      </c>
      <c r="F155" s="3">
        <v>27124.34</v>
      </c>
      <c r="G155">
        <v>75.13</v>
      </c>
      <c r="H155" t="s">
        <v>19</v>
      </c>
    </row>
    <row r="156" spans="1:8" x14ac:dyDescent="0.25">
      <c r="A156" t="s">
        <v>28</v>
      </c>
      <c r="B156">
        <v>5639</v>
      </c>
      <c r="C156" t="s">
        <v>41</v>
      </c>
      <c r="D156" t="s">
        <v>23</v>
      </c>
      <c r="E156">
        <v>8.01</v>
      </c>
      <c r="F156" s="3">
        <v>18969.82</v>
      </c>
      <c r="G156">
        <v>130.84</v>
      </c>
      <c r="H156" t="s">
        <v>19</v>
      </c>
    </row>
    <row r="157" spans="1:8" x14ac:dyDescent="0.25">
      <c r="A157" t="s">
        <v>28</v>
      </c>
      <c r="B157">
        <v>5639</v>
      </c>
      <c r="C157" t="s">
        <v>41</v>
      </c>
      <c r="D157" t="s">
        <v>24</v>
      </c>
      <c r="E157">
        <v>5.24</v>
      </c>
      <c r="F157" s="3">
        <v>21851.03</v>
      </c>
      <c r="G157">
        <v>97.63</v>
      </c>
      <c r="H157" t="s">
        <v>19</v>
      </c>
    </row>
    <row r="158" spans="1:8" x14ac:dyDescent="0.25">
      <c r="A158" t="s">
        <v>28</v>
      </c>
      <c r="B158">
        <v>5641</v>
      </c>
      <c r="C158" t="s">
        <v>42</v>
      </c>
      <c r="D158" t="s">
        <v>8</v>
      </c>
      <c r="E158">
        <v>10.72</v>
      </c>
      <c r="F158" s="3">
        <v>15766.24</v>
      </c>
      <c r="G158">
        <v>67.84</v>
      </c>
      <c r="H158" t="s">
        <v>19</v>
      </c>
    </row>
    <row r="159" spans="1:8" x14ac:dyDescent="0.25">
      <c r="A159" t="s">
        <v>28</v>
      </c>
      <c r="B159">
        <v>5641</v>
      </c>
      <c r="C159" t="s">
        <v>42</v>
      </c>
      <c r="D159" t="s">
        <v>10</v>
      </c>
      <c r="E159">
        <v>10.37</v>
      </c>
      <c r="F159" s="3">
        <v>36639.74</v>
      </c>
      <c r="G159">
        <v>147.62</v>
      </c>
      <c r="H159" t="s">
        <v>19</v>
      </c>
    </row>
    <row r="160" spans="1:8" x14ac:dyDescent="0.25">
      <c r="A160" t="s">
        <v>28</v>
      </c>
      <c r="B160">
        <v>5641</v>
      </c>
      <c r="C160" t="s">
        <v>42</v>
      </c>
      <c r="D160" t="s">
        <v>13</v>
      </c>
      <c r="E160">
        <v>13.42</v>
      </c>
      <c r="F160" s="3">
        <v>20655.55</v>
      </c>
      <c r="G160">
        <v>82.65</v>
      </c>
      <c r="H160" t="s">
        <v>19</v>
      </c>
    </row>
    <row r="161" spans="1:8" x14ac:dyDescent="0.25">
      <c r="A161" t="s">
        <v>28</v>
      </c>
      <c r="B161">
        <v>5641</v>
      </c>
      <c r="C161" t="s">
        <v>42</v>
      </c>
      <c r="D161" t="s">
        <v>15</v>
      </c>
      <c r="E161">
        <v>9.9499999999999993</v>
      </c>
      <c r="F161" s="3">
        <v>17372.189999999999</v>
      </c>
      <c r="G161">
        <v>51.85</v>
      </c>
      <c r="H161" t="s">
        <v>19</v>
      </c>
    </row>
    <row r="162" spans="1:8" x14ac:dyDescent="0.25">
      <c r="A162" t="s">
        <v>28</v>
      </c>
      <c r="B162">
        <v>5641</v>
      </c>
      <c r="C162" t="s">
        <v>42</v>
      </c>
      <c r="D162" t="s">
        <v>16</v>
      </c>
      <c r="E162">
        <v>11.86</v>
      </c>
      <c r="F162" s="3">
        <v>39809.51</v>
      </c>
      <c r="G162">
        <v>81.69</v>
      </c>
      <c r="H162" t="s">
        <v>19</v>
      </c>
    </row>
    <row r="163" spans="1:8" x14ac:dyDescent="0.25">
      <c r="A163" t="s">
        <v>28</v>
      </c>
      <c r="B163">
        <v>5641</v>
      </c>
      <c r="C163" t="s">
        <v>42</v>
      </c>
      <c r="D163" t="s">
        <v>17</v>
      </c>
      <c r="E163">
        <v>11.98</v>
      </c>
      <c r="F163" s="3">
        <v>40095.129999999997</v>
      </c>
      <c r="G163">
        <v>143.97</v>
      </c>
      <c r="H163" t="s">
        <v>19</v>
      </c>
    </row>
    <row r="164" spans="1:8" x14ac:dyDescent="0.25">
      <c r="A164" t="s">
        <v>28</v>
      </c>
      <c r="B164">
        <v>5641</v>
      </c>
      <c r="C164" t="s">
        <v>42</v>
      </c>
      <c r="D164" t="s">
        <v>18</v>
      </c>
      <c r="E164">
        <v>6.74</v>
      </c>
      <c r="F164" s="3">
        <v>33019.339999999997</v>
      </c>
      <c r="G164">
        <v>56.63</v>
      </c>
      <c r="H164" t="s">
        <v>19</v>
      </c>
    </row>
    <row r="165" spans="1:8" x14ac:dyDescent="0.25">
      <c r="A165" t="s">
        <v>28</v>
      </c>
      <c r="B165">
        <v>5641</v>
      </c>
      <c r="C165" t="s">
        <v>42</v>
      </c>
      <c r="D165" t="s">
        <v>20</v>
      </c>
      <c r="E165">
        <v>5.23</v>
      </c>
      <c r="F165" s="3">
        <v>30556.78</v>
      </c>
      <c r="G165">
        <v>127.14</v>
      </c>
      <c r="H165" t="s">
        <v>19</v>
      </c>
    </row>
    <row r="166" spans="1:8" x14ac:dyDescent="0.25">
      <c r="A166" t="s">
        <v>28</v>
      </c>
      <c r="B166">
        <v>5641</v>
      </c>
      <c r="C166" t="s">
        <v>42</v>
      </c>
      <c r="D166" t="s">
        <v>21</v>
      </c>
      <c r="E166">
        <v>11.68</v>
      </c>
      <c r="F166" s="3">
        <v>12543.4</v>
      </c>
      <c r="G166">
        <v>117.99</v>
      </c>
      <c r="H166" t="s">
        <v>19</v>
      </c>
    </row>
    <row r="167" spans="1:8" x14ac:dyDescent="0.25">
      <c r="A167" t="s">
        <v>28</v>
      </c>
      <c r="B167">
        <v>5641</v>
      </c>
      <c r="C167" t="s">
        <v>42</v>
      </c>
      <c r="D167" t="s">
        <v>22</v>
      </c>
      <c r="E167">
        <v>14.47</v>
      </c>
      <c r="F167" s="3">
        <v>44931.47</v>
      </c>
      <c r="G167">
        <v>95.28</v>
      </c>
      <c r="H167" t="s">
        <v>19</v>
      </c>
    </row>
    <row r="168" spans="1:8" x14ac:dyDescent="0.25">
      <c r="A168" t="s">
        <v>28</v>
      </c>
      <c r="B168">
        <v>5641</v>
      </c>
      <c r="C168" t="s">
        <v>42</v>
      </c>
      <c r="D168" t="s">
        <v>23</v>
      </c>
      <c r="E168">
        <v>10.199999999999999</v>
      </c>
      <c r="F168" s="3">
        <v>44398.49</v>
      </c>
      <c r="G168">
        <v>108.4</v>
      </c>
      <c r="H168" t="s">
        <v>19</v>
      </c>
    </row>
    <row r="169" spans="1:8" x14ac:dyDescent="0.25">
      <c r="A169" t="s">
        <v>28</v>
      </c>
      <c r="B169">
        <v>5641</v>
      </c>
      <c r="C169" t="s">
        <v>42</v>
      </c>
      <c r="D169" t="s">
        <v>24</v>
      </c>
      <c r="E169">
        <v>13.17</v>
      </c>
      <c r="F169" s="3">
        <v>31106.92</v>
      </c>
      <c r="G169">
        <v>99.3</v>
      </c>
      <c r="H169" t="s">
        <v>19</v>
      </c>
    </row>
    <row r="170" spans="1:8" x14ac:dyDescent="0.25">
      <c r="A170" t="s">
        <v>28</v>
      </c>
      <c r="B170">
        <v>5642</v>
      </c>
      <c r="C170" t="s">
        <v>43</v>
      </c>
      <c r="D170" t="s">
        <v>8</v>
      </c>
      <c r="E170">
        <v>6</v>
      </c>
      <c r="F170" s="3">
        <v>39500.89</v>
      </c>
      <c r="G170">
        <v>131.47999999999999</v>
      </c>
      <c r="H170" t="s">
        <v>19</v>
      </c>
    </row>
    <row r="171" spans="1:8" x14ac:dyDescent="0.25">
      <c r="A171" t="s">
        <v>28</v>
      </c>
      <c r="B171">
        <v>5642</v>
      </c>
      <c r="C171" t="s">
        <v>43</v>
      </c>
      <c r="D171" t="s">
        <v>10</v>
      </c>
      <c r="E171">
        <v>13.46</v>
      </c>
      <c r="F171" s="3">
        <v>20689.45</v>
      </c>
      <c r="G171">
        <v>64.92</v>
      </c>
      <c r="H171" t="s">
        <v>19</v>
      </c>
    </row>
    <row r="172" spans="1:8" x14ac:dyDescent="0.25">
      <c r="A172" t="s">
        <v>28</v>
      </c>
      <c r="B172">
        <v>5642</v>
      </c>
      <c r="C172" t="s">
        <v>43</v>
      </c>
      <c r="D172" t="s">
        <v>13</v>
      </c>
      <c r="E172">
        <v>9.3000000000000007</v>
      </c>
      <c r="F172" s="3">
        <v>34475.64</v>
      </c>
      <c r="G172">
        <v>64.680000000000007</v>
      </c>
      <c r="H172" t="s">
        <v>19</v>
      </c>
    </row>
    <row r="173" spans="1:8" x14ac:dyDescent="0.25">
      <c r="A173" t="s">
        <v>28</v>
      </c>
      <c r="B173">
        <v>5642</v>
      </c>
      <c r="C173" t="s">
        <v>43</v>
      </c>
      <c r="D173" t="s">
        <v>15</v>
      </c>
      <c r="E173">
        <v>11.58</v>
      </c>
      <c r="F173" s="3">
        <v>31772.400000000001</v>
      </c>
      <c r="G173">
        <v>116.27</v>
      </c>
      <c r="H173" t="s">
        <v>19</v>
      </c>
    </row>
    <row r="174" spans="1:8" x14ac:dyDescent="0.25">
      <c r="A174" t="s">
        <v>28</v>
      </c>
      <c r="B174">
        <v>5642</v>
      </c>
      <c r="C174" t="s">
        <v>43</v>
      </c>
      <c r="D174" t="s">
        <v>16</v>
      </c>
      <c r="E174">
        <v>6.88</v>
      </c>
      <c r="F174" s="3">
        <v>17283.580000000002</v>
      </c>
      <c r="G174">
        <v>91.21</v>
      </c>
      <c r="H174" t="s">
        <v>19</v>
      </c>
    </row>
    <row r="175" spans="1:8" x14ac:dyDescent="0.25">
      <c r="A175" t="s">
        <v>28</v>
      </c>
      <c r="B175">
        <v>5642</v>
      </c>
      <c r="C175" t="s">
        <v>43</v>
      </c>
      <c r="D175" t="s">
        <v>17</v>
      </c>
      <c r="E175">
        <v>7.68</v>
      </c>
      <c r="F175" s="3">
        <v>33714.050000000003</v>
      </c>
      <c r="G175">
        <v>110.95</v>
      </c>
      <c r="H175" t="s">
        <v>19</v>
      </c>
    </row>
    <row r="176" spans="1:8" x14ac:dyDescent="0.25">
      <c r="A176" t="s">
        <v>28</v>
      </c>
      <c r="B176">
        <v>5642</v>
      </c>
      <c r="C176" t="s">
        <v>43</v>
      </c>
      <c r="D176" t="s">
        <v>18</v>
      </c>
      <c r="E176">
        <v>10.52</v>
      </c>
      <c r="F176" s="3">
        <v>45319.11</v>
      </c>
      <c r="G176">
        <v>68.069999999999993</v>
      </c>
      <c r="H176" t="s">
        <v>19</v>
      </c>
    </row>
    <row r="177" spans="1:8" x14ac:dyDescent="0.25">
      <c r="A177" t="s">
        <v>28</v>
      </c>
      <c r="B177">
        <v>5642</v>
      </c>
      <c r="C177" t="s">
        <v>43</v>
      </c>
      <c r="D177" t="s">
        <v>20</v>
      </c>
      <c r="E177">
        <v>13.51</v>
      </c>
      <c r="F177" s="3">
        <v>24715.27</v>
      </c>
      <c r="G177">
        <v>101.57</v>
      </c>
      <c r="H177" t="s">
        <v>19</v>
      </c>
    </row>
    <row r="178" spans="1:8" x14ac:dyDescent="0.25">
      <c r="A178" t="s">
        <v>28</v>
      </c>
      <c r="B178">
        <v>5642</v>
      </c>
      <c r="C178" t="s">
        <v>43</v>
      </c>
      <c r="D178" t="s">
        <v>21</v>
      </c>
      <c r="E178">
        <v>8.11</v>
      </c>
      <c r="F178" s="3">
        <v>38838.620000000003</v>
      </c>
      <c r="G178">
        <v>108.83</v>
      </c>
      <c r="H178" t="s">
        <v>19</v>
      </c>
    </row>
    <row r="179" spans="1:8" x14ac:dyDescent="0.25">
      <c r="A179" t="s">
        <v>28</v>
      </c>
      <c r="B179">
        <v>5642</v>
      </c>
      <c r="C179" t="s">
        <v>43</v>
      </c>
      <c r="D179" t="s">
        <v>22</v>
      </c>
      <c r="E179">
        <v>14.23</v>
      </c>
      <c r="F179" s="3">
        <v>44446.57</v>
      </c>
      <c r="G179">
        <v>123.45</v>
      </c>
      <c r="H179" t="s">
        <v>19</v>
      </c>
    </row>
    <row r="180" spans="1:8" x14ac:dyDescent="0.25">
      <c r="A180" t="s">
        <v>28</v>
      </c>
      <c r="B180">
        <v>5642</v>
      </c>
      <c r="C180" t="s">
        <v>43</v>
      </c>
      <c r="D180" t="s">
        <v>23</v>
      </c>
      <c r="E180">
        <v>13.25</v>
      </c>
      <c r="F180" s="3">
        <v>30799.98</v>
      </c>
      <c r="G180">
        <v>61.33</v>
      </c>
      <c r="H180" t="s">
        <v>19</v>
      </c>
    </row>
    <row r="181" spans="1:8" x14ac:dyDescent="0.25">
      <c r="A181" t="s">
        <v>28</v>
      </c>
      <c r="B181">
        <v>5642</v>
      </c>
      <c r="C181" t="s">
        <v>43</v>
      </c>
      <c r="D181" t="s">
        <v>24</v>
      </c>
      <c r="E181">
        <v>7.87</v>
      </c>
      <c r="F181" s="3">
        <v>46621.75</v>
      </c>
      <c r="G181">
        <v>111.28</v>
      </c>
      <c r="H181" t="s">
        <v>19</v>
      </c>
    </row>
    <row r="182" spans="1:8" x14ac:dyDescent="0.25">
      <c r="A182" t="s">
        <v>28</v>
      </c>
      <c r="B182">
        <v>5643</v>
      </c>
      <c r="C182" t="s">
        <v>44</v>
      </c>
      <c r="D182" t="s">
        <v>8</v>
      </c>
      <c r="E182">
        <v>9.93</v>
      </c>
      <c r="F182" s="3">
        <v>41838.080000000002</v>
      </c>
      <c r="G182">
        <v>76.89</v>
      </c>
      <c r="H182" t="s">
        <v>19</v>
      </c>
    </row>
    <row r="183" spans="1:8" x14ac:dyDescent="0.25">
      <c r="A183" t="s">
        <v>28</v>
      </c>
      <c r="B183">
        <v>5643</v>
      </c>
      <c r="C183" t="s">
        <v>44</v>
      </c>
      <c r="D183" t="s">
        <v>10</v>
      </c>
      <c r="E183">
        <v>12.34</v>
      </c>
      <c r="F183" s="3">
        <v>20075.47</v>
      </c>
      <c r="G183">
        <v>87.35</v>
      </c>
      <c r="H183" t="s">
        <v>19</v>
      </c>
    </row>
    <row r="184" spans="1:8" x14ac:dyDescent="0.25">
      <c r="A184" t="s">
        <v>28</v>
      </c>
      <c r="B184">
        <v>5643</v>
      </c>
      <c r="C184" t="s">
        <v>44</v>
      </c>
      <c r="D184" t="s">
        <v>13</v>
      </c>
      <c r="E184">
        <v>12.43</v>
      </c>
      <c r="F184" s="3">
        <v>44820.57</v>
      </c>
      <c r="G184">
        <v>146</v>
      </c>
      <c r="H184" t="s">
        <v>19</v>
      </c>
    </row>
    <row r="185" spans="1:8" x14ac:dyDescent="0.25">
      <c r="A185" t="s">
        <v>28</v>
      </c>
      <c r="B185">
        <v>5643</v>
      </c>
      <c r="C185" t="s">
        <v>44</v>
      </c>
      <c r="D185" t="s">
        <v>15</v>
      </c>
      <c r="E185">
        <v>7.98</v>
      </c>
      <c r="F185" s="3">
        <v>11699.7</v>
      </c>
      <c r="G185">
        <v>56.56</v>
      </c>
      <c r="H185" t="s">
        <v>19</v>
      </c>
    </row>
    <row r="186" spans="1:8" x14ac:dyDescent="0.25">
      <c r="A186" t="s">
        <v>28</v>
      </c>
      <c r="B186">
        <v>5643</v>
      </c>
      <c r="C186" t="s">
        <v>44</v>
      </c>
      <c r="D186" t="s">
        <v>16</v>
      </c>
      <c r="E186">
        <v>8</v>
      </c>
      <c r="F186" s="3">
        <v>27812.46</v>
      </c>
      <c r="G186">
        <v>53.1</v>
      </c>
      <c r="H186" t="s">
        <v>19</v>
      </c>
    </row>
    <row r="187" spans="1:8" x14ac:dyDescent="0.25">
      <c r="A187" t="s">
        <v>28</v>
      </c>
      <c r="B187">
        <v>5643</v>
      </c>
      <c r="C187" t="s">
        <v>44</v>
      </c>
      <c r="D187" t="s">
        <v>17</v>
      </c>
      <c r="E187">
        <v>8.02</v>
      </c>
      <c r="F187" s="3">
        <v>29933.81</v>
      </c>
      <c r="G187">
        <v>138.61000000000001</v>
      </c>
      <c r="H187" t="s">
        <v>19</v>
      </c>
    </row>
    <row r="188" spans="1:8" x14ac:dyDescent="0.25">
      <c r="A188" t="s">
        <v>28</v>
      </c>
      <c r="B188">
        <v>5643</v>
      </c>
      <c r="C188" t="s">
        <v>44</v>
      </c>
      <c r="D188" t="s">
        <v>18</v>
      </c>
      <c r="E188">
        <v>9.2100000000000009</v>
      </c>
      <c r="F188" s="3">
        <v>27016.37</v>
      </c>
      <c r="G188">
        <v>53.76</v>
      </c>
      <c r="H188" t="s">
        <v>19</v>
      </c>
    </row>
    <row r="189" spans="1:8" x14ac:dyDescent="0.25">
      <c r="A189" t="s">
        <v>28</v>
      </c>
      <c r="B189">
        <v>5643</v>
      </c>
      <c r="C189" t="s">
        <v>44</v>
      </c>
      <c r="D189" t="s">
        <v>20</v>
      </c>
      <c r="E189">
        <v>5.5</v>
      </c>
      <c r="F189" s="3">
        <v>28624.52</v>
      </c>
      <c r="G189">
        <v>108.35</v>
      </c>
      <c r="H189" t="s">
        <v>19</v>
      </c>
    </row>
    <row r="190" spans="1:8" x14ac:dyDescent="0.25">
      <c r="A190" t="s">
        <v>28</v>
      </c>
      <c r="B190">
        <v>5643</v>
      </c>
      <c r="C190" t="s">
        <v>44</v>
      </c>
      <c r="D190" t="s">
        <v>21</v>
      </c>
      <c r="E190">
        <v>13.84</v>
      </c>
      <c r="F190" s="3">
        <v>19916.28</v>
      </c>
      <c r="G190">
        <v>59.78</v>
      </c>
      <c r="H190" t="s">
        <v>19</v>
      </c>
    </row>
    <row r="191" spans="1:8" x14ac:dyDescent="0.25">
      <c r="A191" t="s">
        <v>28</v>
      </c>
      <c r="B191">
        <v>5643</v>
      </c>
      <c r="C191" t="s">
        <v>44</v>
      </c>
      <c r="D191" t="s">
        <v>22</v>
      </c>
      <c r="E191">
        <v>9.8000000000000007</v>
      </c>
      <c r="F191" s="3">
        <v>39947.800000000003</v>
      </c>
      <c r="G191">
        <v>63.99</v>
      </c>
      <c r="H191" t="s">
        <v>19</v>
      </c>
    </row>
    <row r="192" spans="1:8" x14ac:dyDescent="0.25">
      <c r="A192" t="s">
        <v>28</v>
      </c>
      <c r="B192">
        <v>5643</v>
      </c>
      <c r="C192" t="s">
        <v>44</v>
      </c>
      <c r="D192" t="s">
        <v>23</v>
      </c>
      <c r="E192">
        <v>10.86</v>
      </c>
      <c r="F192" s="3">
        <v>21491.360000000001</v>
      </c>
      <c r="G192">
        <v>51.69</v>
      </c>
      <c r="H192" t="s">
        <v>19</v>
      </c>
    </row>
    <row r="193" spans="1:8" x14ac:dyDescent="0.25">
      <c r="A193" t="s">
        <v>28</v>
      </c>
      <c r="B193">
        <v>5643</v>
      </c>
      <c r="C193" t="s">
        <v>44</v>
      </c>
      <c r="D193" t="s">
        <v>24</v>
      </c>
      <c r="E193">
        <v>12.47</v>
      </c>
      <c r="F193" s="3">
        <v>34538.730000000003</v>
      </c>
      <c r="G193">
        <v>86.75</v>
      </c>
      <c r="H193" t="s">
        <v>19</v>
      </c>
    </row>
    <row r="194" spans="1:8" x14ac:dyDescent="0.25">
      <c r="A194" t="s">
        <v>30</v>
      </c>
      <c r="B194">
        <v>5851</v>
      </c>
      <c r="C194" t="s">
        <v>45</v>
      </c>
      <c r="D194" t="s">
        <v>8</v>
      </c>
      <c r="E194">
        <v>8.99</v>
      </c>
      <c r="F194" s="3">
        <v>27670.33</v>
      </c>
      <c r="G194">
        <v>122.69</v>
      </c>
      <c r="H194" t="s">
        <v>19</v>
      </c>
    </row>
    <row r="195" spans="1:8" x14ac:dyDescent="0.25">
      <c r="A195" t="s">
        <v>30</v>
      </c>
      <c r="B195">
        <v>5851</v>
      </c>
      <c r="C195" t="s">
        <v>45</v>
      </c>
      <c r="D195" t="s">
        <v>10</v>
      </c>
      <c r="E195">
        <v>6.06</v>
      </c>
      <c r="F195" s="3">
        <v>25411.46</v>
      </c>
      <c r="G195">
        <v>115.88</v>
      </c>
      <c r="H195" t="s">
        <v>19</v>
      </c>
    </row>
    <row r="196" spans="1:8" x14ac:dyDescent="0.25">
      <c r="A196" t="s">
        <v>30</v>
      </c>
      <c r="B196">
        <v>5851</v>
      </c>
      <c r="C196" t="s">
        <v>45</v>
      </c>
      <c r="D196" t="s">
        <v>13</v>
      </c>
      <c r="E196">
        <v>7.06</v>
      </c>
      <c r="F196" s="3">
        <v>39380.589999999997</v>
      </c>
      <c r="G196">
        <v>82.18</v>
      </c>
      <c r="H196" t="s">
        <v>19</v>
      </c>
    </row>
    <row r="197" spans="1:8" x14ac:dyDescent="0.25">
      <c r="A197" t="s">
        <v>30</v>
      </c>
      <c r="B197">
        <v>5851</v>
      </c>
      <c r="C197" t="s">
        <v>45</v>
      </c>
      <c r="D197" t="s">
        <v>15</v>
      </c>
      <c r="E197">
        <v>9.68</v>
      </c>
      <c r="F197" s="3">
        <v>43724.67</v>
      </c>
      <c r="G197">
        <v>95.6</v>
      </c>
      <c r="H197" t="s">
        <v>19</v>
      </c>
    </row>
    <row r="198" spans="1:8" x14ac:dyDescent="0.25">
      <c r="A198" t="s">
        <v>30</v>
      </c>
      <c r="B198">
        <v>5851</v>
      </c>
      <c r="C198" t="s">
        <v>45</v>
      </c>
      <c r="D198" t="s">
        <v>16</v>
      </c>
      <c r="E198">
        <v>9.7100000000000009</v>
      </c>
      <c r="F198" s="3">
        <v>13125.86</v>
      </c>
      <c r="G198">
        <v>99.68</v>
      </c>
      <c r="H198" t="s">
        <v>19</v>
      </c>
    </row>
    <row r="199" spans="1:8" x14ac:dyDescent="0.25">
      <c r="A199" t="s">
        <v>30</v>
      </c>
      <c r="B199">
        <v>5851</v>
      </c>
      <c r="C199" t="s">
        <v>45</v>
      </c>
      <c r="D199" t="s">
        <v>17</v>
      </c>
      <c r="E199">
        <v>5.32</v>
      </c>
      <c r="F199" s="3">
        <v>42564.68</v>
      </c>
      <c r="G199">
        <v>80.45</v>
      </c>
      <c r="H199" t="s">
        <v>19</v>
      </c>
    </row>
    <row r="200" spans="1:8" x14ac:dyDescent="0.25">
      <c r="A200" t="s">
        <v>30</v>
      </c>
      <c r="B200">
        <v>5851</v>
      </c>
      <c r="C200" t="s">
        <v>45</v>
      </c>
      <c r="D200" t="s">
        <v>18</v>
      </c>
      <c r="E200">
        <v>8.99</v>
      </c>
      <c r="F200" s="3">
        <v>32997.67</v>
      </c>
      <c r="G200">
        <v>147.35</v>
      </c>
      <c r="H200" t="s">
        <v>19</v>
      </c>
    </row>
    <row r="201" spans="1:8" x14ac:dyDescent="0.25">
      <c r="A201" t="s">
        <v>30</v>
      </c>
      <c r="B201">
        <v>5851</v>
      </c>
      <c r="C201" t="s">
        <v>45</v>
      </c>
      <c r="D201" t="s">
        <v>20</v>
      </c>
      <c r="E201">
        <v>8.68</v>
      </c>
      <c r="F201" s="3">
        <v>18772.150000000001</v>
      </c>
      <c r="G201">
        <v>140.76</v>
      </c>
      <c r="H201" t="s">
        <v>19</v>
      </c>
    </row>
    <row r="202" spans="1:8" x14ac:dyDescent="0.25">
      <c r="A202" t="s">
        <v>30</v>
      </c>
      <c r="B202">
        <v>5851</v>
      </c>
      <c r="C202" t="s">
        <v>45</v>
      </c>
      <c r="D202" t="s">
        <v>21</v>
      </c>
      <c r="E202">
        <v>12.24</v>
      </c>
      <c r="F202" s="3">
        <v>30513.1</v>
      </c>
      <c r="G202">
        <v>104.94</v>
      </c>
      <c r="H202" t="s">
        <v>19</v>
      </c>
    </row>
    <row r="203" spans="1:8" x14ac:dyDescent="0.25">
      <c r="A203" t="s">
        <v>30</v>
      </c>
      <c r="B203">
        <v>5851</v>
      </c>
      <c r="C203" t="s">
        <v>45</v>
      </c>
      <c r="D203" t="s">
        <v>22</v>
      </c>
      <c r="E203">
        <v>11.6</v>
      </c>
      <c r="F203" s="3">
        <v>48147.18</v>
      </c>
      <c r="G203">
        <v>74.86</v>
      </c>
      <c r="H203" t="s">
        <v>19</v>
      </c>
    </row>
    <row r="204" spans="1:8" x14ac:dyDescent="0.25">
      <c r="A204" t="s">
        <v>30</v>
      </c>
      <c r="B204">
        <v>5851</v>
      </c>
      <c r="C204" t="s">
        <v>45</v>
      </c>
      <c r="D204" t="s">
        <v>23</v>
      </c>
      <c r="E204">
        <v>6.95</v>
      </c>
      <c r="F204" s="3">
        <v>13568.78</v>
      </c>
      <c r="G204">
        <v>54.07</v>
      </c>
      <c r="H204" t="s">
        <v>19</v>
      </c>
    </row>
    <row r="205" spans="1:8" x14ac:dyDescent="0.25">
      <c r="A205" t="s">
        <v>30</v>
      </c>
      <c r="B205">
        <v>5851</v>
      </c>
      <c r="C205" t="s">
        <v>45</v>
      </c>
      <c r="D205" t="s">
        <v>24</v>
      </c>
      <c r="E205">
        <v>5.38</v>
      </c>
      <c r="F205" s="3">
        <v>26482.04</v>
      </c>
      <c r="G205">
        <v>126.37</v>
      </c>
      <c r="H205" t="s">
        <v>19</v>
      </c>
    </row>
    <row r="206" spans="1:8" x14ac:dyDescent="0.25">
      <c r="A206" t="s">
        <v>30</v>
      </c>
      <c r="B206">
        <v>5030</v>
      </c>
      <c r="C206" t="s">
        <v>46</v>
      </c>
      <c r="D206" t="s">
        <v>8</v>
      </c>
      <c r="E206">
        <v>9.76</v>
      </c>
      <c r="F206" s="3">
        <v>31901.81</v>
      </c>
      <c r="G206">
        <v>98</v>
      </c>
      <c r="H206" t="s">
        <v>19</v>
      </c>
    </row>
    <row r="207" spans="1:8" x14ac:dyDescent="0.25">
      <c r="A207" t="s">
        <v>30</v>
      </c>
      <c r="B207">
        <v>5030</v>
      </c>
      <c r="C207" t="s">
        <v>46</v>
      </c>
      <c r="D207" t="s">
        <v>10</v>
      </c>
      <c r="E207">
        <v>11.08</v>
      </c>
      <c r="F207" s="3">
        <v>32193.39</v>
      </c>
      <c r="G207">
        <v>58.8</v>
      </c>
      <c r="H207" t="s">
        <v>19</v>
      </c>
    </row>
    <row r="208" spans="1:8" x14ac:dyDescent="0.25">
      <c r="A208" t="s">
        <v>30</v>
      </c>
      <c r="B208">
        <v>5030</v>
      </c>
      <c r="C208" t="s">
        <v>46</v>
      </c>
      <c r="D208" t="s">
        <v>13</v>
      </c>
      <c r="E208">
        <v>10.01</v>
      </c>
      <c r="F208" s="3">
        <v>35506.32</v>
      </c>
      <c r="G208">
        <v>101.52</v>
      </c>
      <c r="H208" t="s">
        <v>19</v>
      </c>
    </row>
    <row r="209" spans="1:8" x14ac:dyDescent="0.25">
      <c r="A209" t="s">
        <v>30</v>
      </c>
      <c r="B209">
        <v>5030</v>
      </c>
      <c r="C209" t="s">
        <v>46</v>
      </c>
      <c r="D209" t="s">
        <v>15</v>
      </c>
      <c r="E209">
        <v>11.21</v>
      </c>
      <c r="F209" s="3">
        <v>16201.13</v>
      </c>
      <c r="G209">
        <v>142.57</v>
      </c>
      <c r="H209" t="s">
        <v>19</v>
      </c>
    </row>
    <row r="210" spans="1:8" x14ac:dyDescent="0.25">
      <c r="A210" t="s">
        <v>30</v>
      </c>
      <c r="B210">
        <v>5030</v>
      </c>
      <c r="C210" t="s">
        <v>46</v>
      </c>
      <c r="D210" t="s">
        <v>16</v>
      </c>
      <c r="E210">
        <v>14.28</v>
      </c>
      <c r="F210" s="3">
        <v>30799.26</v>
      </c>
      <c r="G210">
        <v>52.41</v>
      </c>
      <c r="H210" t="s">
        <v>19</v>
      </c>
    </row>
    <row r="211" spans="1:8" x14ac:dyDescent="0.25">
      <c r="A211" t="s">
        <v>30</v>
      </c>
      <c r="B211">
        <v>5030</v>
      </c>
      <c r="C211" t="s">
        <v>46</v>
      </c>
      <c r="D211" t="s">
        <v>17</v>
      </c>
      <c r="E211">
        <v>8.35</v>
      </c>
      <c r="F211" s="3">
        <v>21350.93</v>
      </c>
      <c r="G211">
        <v>100.62</v>
      </c>
      <c r="H211" t="s">
        <v>19</v>
      </c>
    </row>
    <row r="212" spans="1:8" x14ac:dyDescent="0.25">
      <c r="A212" t="s">
        <v>30</v>
      </c>
      <c r="B212">
        <v>5030</v>
      </c>
      <c r="C212" t="s">
        <v>46</v>
      </c>
      <c r="D212" t="s">
        <v>18</v>
      </c>
      <c r="E212">
        <v>8.76</v>
      </c>
      <c r="F212" s="3">
        <v>29207.54</v>
      </c>
      <c r="G212">
        <v>94.21</v>
      </c>
      <c r="H212" t="s">
        <v>19</v>
      </c>
    </row>
    <row r="213" spans="1:8" x14ac:dyDescent="0.25">
      <c r="A213" t="s">
        <v>30</v>
      </c>
      <c r="B213">
        <v>5030</v>
      </c>
      <c r="C213" t="s">
        <v>46</v>
      </c>
      <c r="D213" t="s">
        <v>20</v>
      </c>
      <c r="E213">
        <v>12.05</v>
      </c>
      <c r="F213" s="3">
        <v>19588.93</v>
      </c>
      <c r="G213">
        <v>91.64</v>
      </c>
      <c r="H213" t="s">
        <v>19</v>
      </c>
    </row>
    <row r="214" spans="1:8" x14ac:dyDescent="0.25">
      <c r="A214" t="s">
        <v>30</v>
      </c>
      <c r="B214">
        <v>5030</v>
      </c>
      <c r="C214" t="s">
        <v>46</v>
      </c>
      <c r="D214" t="s">
        <v>21</v>
      </c>
      <c r="E214">
        <v>14.41</v>
      </c>
      <c r="F214" s="3">
        <v>14053.23</v>
      </c>
      <c r="G214">
        <v>119.46</v>
      </c>
      <c r="H214" t="s">
        <v>19</v>
      </c>
    </row>
    <row r="215" spans="1:8" x14ac:dyDescent="0.25">
      <c r="A215" t="s">
        <v>30</v>
      </c>
      <c r="B215">
        <v>5030</v>
      </c>
      <c r="C215" t="s">
        <v>46</v>
      </c>
      <c r="D215" t="s">
        <v>22</v>
      </c>
      <c r="E215">
        <v>13</v>
      </c>
      <c r="F215" s="3">
        <v>14152.81</v>
      </c>
      <c r="G215">
        <v>98.63</v>
      </c>
      <c r="H215" t="s">
        <v>19</v>
      </c>
    </row>
    <row r="216" spans="1:8" x14ac:dyDescent="0.25">
      <c r="A216" t="s">
        <v>30</v>
      </c>
      <c r="B216">
        <v>5030</v>
      </c>
      <c r="C216" t="s">
        <v>46</v>
      </c>
      <c r="D216" t="s">
        <v>23</v>
      </c>
      <c r="E216">
        <v>7.89</v>
      </c>
      <c r="F216" s="3">
        <v>30575.35</v>
      </c>
      <c r="G216">
        <v>90.93</v>
      </c>
      <c r="H216" t="s">
        <v>19</v>
      </c>
    </row>
    <row r="217" spans="1:8" x14ac:dyDescent="0.25">
      <c r="A217" t="s">
        <v>30</v>
      </c>
      <c r="B217">
        <v>5030</v>
      </c>
      <c r="C217" t="s">
        <v>46</v>
      </c>
      <c r="D217" t="s">
        <v>24</v>
      </c>
      <c r="E217">
        <v>13.58</v>
      </c>
      <c r="F217" s="3">
        <v>20388.310000000001</v>
      </c>
      <c r="G217">
        <v>138.72</v>
      </c>
      <c r="H217" t="s">
        <v>19</v>
      </c>
    </row>
    <row r="218" spans="1:8" x14ac:dyDescent="0.25">
      <c r="A218" t="s">
        <v>26</v>
      </c>
      <c r="B218">
        <v>5521</v>
      </c>
      <c r="C218" t="s">
        <v>47</v>
      </c>
      <c r="D218" t="s">
        <v>8</v>
      </c>
      <c r="E218">
        <v>14.62</v>
      </c>
      <c r="F218" s="3">
        <v>40632.239999999998</v>
      </c>
      <c r="G218">
        <v>129.24</v>
      </c>
      <c r="H218" t="s">
        <v>19</v>
      </c>
    </row>
    <row r="219" spans="1:8" x14ac:dyDescent="0.25">
      <c r="A219" t="s">
        <v>26</v>
      </c>
      <c r="B219">
        <v>5521</v>
      </c>
      <c r="C219" t="s">
        <v>47</v>
      </c>
      <c r="D219" t="s">
        <v>10</v>
      </c>
      <c r="E219">
        <v>11.42</v>
      </c>
      <c r="F219" s="3">
        <v>25416.77</v>
      </c>
      <c r="G219">
        <v>61.88</v>
      </c>
      <c r="H219" t="s">
        <v>19</v>
      </c>
    </row>
    <row r="220" spans="1:8" x14ac:dyDescent="0.25">
      <c r="A220" t="s">
        <v>26</v>
      </c>
      <c r="B220">
        <v>5521</v>
      </c>
      <c r="C220" t="s">
        <v>47</v>
      </c>
      <c r="D220" t="s">
        <v>13</v>
      </c>
      <c r="E220">
        <v>5.38</v>
      </c>
      <c r="F220" s="3">
        <v>15222.31</v>
      </c>
      <c r="G220">
        <v>96.66</v>
      </c>
      <c r="H220" t="s">
        <v>19</v>
      </c>
    </row>
    <row r="221" spans="1:8" x14ac:dyDescent="0.25">
      <c r="A221" t="s">
        <v>26</v>
      </c>
      <c r="B221">
        <v>5521</v>
      </c>
      <c r="C221" t="s">
        <v>47</v>
      </c>
      <c r="D221" t="s">
        <v>15</v>
      </c>
      <c r="E221">
        <v>6.18</v>
      </c>
      <c r="F221" s="3">
        <v>25233.16</v>
      </c>
      <c r="G221">
        <v>109.93</v>
      </c>
      <c r="H221" t="s">
        <v>19</v>
      </c>
    </row>
    <row r="222" spans="1:8" x14ac:dyDescent="0.25">
      <c r="A222" t="s">
        <v>26</v>
      </c>
      <c r="B222">
        <v>5521</v>
      </c>
      <c r="C222" t="s">
        <v>47</v>
      </c>
      <c r="D222" t="s">
        <v>16</v>
      </c>
      <c r="E222">
        <v>13.92</v>
      </c>
      <c r="F222" s="3">
        <v>38703.17</v>
      </c>
      <c r="G222">
        <v>144.94</v>
      </c>
      <c r="H222" t="s">
        <v>19</v>
      </c>
    </row>
    <row r="223" spans="1:8" x14ac:dyDescent="0.25">
      <c r="A223" t="s">
        <v>26</v>
      </c>
      <c r="B223">
        <v>5521</v>
      </c>
      <c r="C223" t="s">
        <v>47</v>
      </c>
      <c r="D223" t="s">
        <v>17</v>
      </c>
      <c r="E223">
        <v>7.25</v>
      </c>
      <c r="F223" s="3">
        <v>16438.77</v>
      </c>
      <c r="G223">
        <v>109.05</v>
      </c>
      <c r="H223" t="s">
        <v>19</v>
      </c>
    </row>
    <row r="224" spans="1:8" x14ac:dyDescent="0.25">
      <c r="A224" t="s">
        <v>26</v>
      </c>
      <c r="B224">
        <v>5521</v>
      </c>
      <c r="C224" t="s">
        <v>47</v>
      </c>
      <c r="D224" t="s">
        <v>18</v>
      </c>
      <c r="E224">
        <v>14.68</v>
      </c>
      <c r="F224" s="3">
        <v>38499.129999999997</v>
      </c>
      <c r="G224">
        <v>99.65</v>
      </c>
      <c r="H224" t="s">
        <v>19</v>
      </c>
    </row>
    <row r="225" spans="1:8" x14ac:dyDescent="0.25">
      <c r="A225" t="s">
        <v>26</v>
      </c>
      <c r="B225">
        <v>5521</v>
      </c>
      <c r="C225" t="s">
        <v>47</v>
      </c>
      <c r="D225" t="s">
        <v>20</v>
      </c>
      <c r="E225">
        <v>10.199999999999999</v>
      </c>
      <c r="F225" s="3">
        <v>17070.939999999999</v>
      </c>
      <c r="G225">
        <v>89.12</v>
      </c>
      <c r="H225" t="s">
        <v>19</v>
      </c>
    </row>
    <row r="226" spans="1:8" x14ac:dyDescent="0.25">
      <c r="A226" t="s">
        <v>26</v>
      </c>
      <c r="B226">
        <v>5521</v>
      </c>
      <c r="C226" t="s">
        <v>47</v>
      </c>
      <c r="D226" t="s">
        <v>21</v>
      </c>
      <c r="E226">
        <v>12.59</v>
      </c>
      <c r="F226" s="3">
        <v>45775.05</v>
      </c>
      <c r="G226">
        <v>106.19</v>
      </c>
      <c r="H226" t="s">
        <v>19</v>
      </c>
    </row>
    <row r="227" spans="1:8" x14ac:dyDescent="0.25">
      <c r="A227" t="s">
        <v>26</v>
      </c>
      <c r="B227">
        <v>5521</v>
      </c>
      <c r="C227" t="s">
        <v>47</v>
      </c>
      <c r="D227" t="s">
        <v>22</v>
      </c>
      <c r="E227">
        <v>10.38</v>
      </c>
      <c r="F227" s="3">
        <v>13564.26</v>
      </c>
      <c r="G227">
        <v>148.16999999999999</v>
      </c>
      <c r="H227" t="s">
        <v>19</v>
      </c>
    </row>
    <row r="228" spans="1:8" x14ac:dyDescent="0.25">
      <c r="A228" t="s">
        <v>26</v>
      </c>
      <c r="B228">
        <v>5521</v>
      </c>
      <c r="C228" t="s">
        <v>47</v>
      </c>
      <c r="D228" t="s">
        <v>23</v>
      </c>
      <c r="E228">
        <v>11.66</v>
      </c>
      <c r="F228" s="3">
        <v>20996.77</v>
      </c>
      <c r="G228">
        <v>129.22999999999999</v>
      </c>
      <c r="H228" t="s">
        <v>19</v>
      </c>
    </row>
    <row r="229" spans="1:8" x14ac:dyDescent="0.25">
      <c r="A229" t="s">
        <v>26</v>
      </c>
      <c r="B229">
        <v>5521</v>
      </c>
      <c r="C229" t="s">
        <v>47</v>
      </c>
      <c r="D229" t="s">
        <v>24</v>
      </c>
      <c r="E229">
        <v>14.21</v>
      </c>
      <c r="F229" s="3">
        <v>23214.49</v>
      </c>
      <c r="G229">
        <v>101.18</v>
      </c>
      <c r="H229" t="s">
        <v>19</v>
      </c>
    </row>
    <row r="231" spans="1:8" x14ac:dyDescent="0.25">
      <c r="A231" s="1"/>
      <c r="B231" s="1"/>
      <c r="D231" s="2"/>
    </row>
    <row r="232" spans="1:8" x14ac:dyDescent="0.25">
      <c r="D232" s="5"/>
    </row>
  </sheetData>
  <conditionalFormatting sqref="D231">
    <cfRule type="cellIs" priority="2" stopIfTrue="1" operator="greaterThanOrEqual">
      <formula>K1</formula>
    </cfRule>
  </conditionalFormatting>
  <conditionalFormatting sqref="L3">
    <cfRule type="cellIs" priority="1" stopIfTrue="1" operator="greaterThanOrEqual">
      <formula>P1048349</formula>
    </cfRule>
  </conditionalFormatting>
  <pageMargins left="0.75" right="0.75" top="1" bottom="1" header="0.5" footer="0.5"/>
  <headerFooter>
    <oddFooter>&amp;C_x000D_&amp;1#&amp;"Calibri"&amp;8&amp;K000000 INTERNAL USE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7f892d-6565-48b7-8183-b0214d5ebe5f" xsi:nil="true"/>
    <lcf76f155ced4ddcb4097134ff3c332f xmlns="3189c296-38b9-40a7-9323-b696cd3c339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CA2610F0A90943902E2B1845A96F57" ma:contentTypeVersion="16" ma:contentTypeDescription="Create a new document." ma:contentTypeScope="" ma:versionID="d03a5128fe3593df0d1dd32ebef5fb3f">
  <xsd:schema xmlns:xsd="http://www.w3.org/2001/XMLSchema" xmlns:xs="http://www.w3.org/2001/XMLSchema" xmlns:p="http://schemas.microsoft.com/office/2006/metadata/properties" xmlns:ns2="3189c296-38b9-40a7-9323-b696cd3c3391" xmlns:ns3="367f892d-6565-48b7-8183-b0214d5ebe5f" targetNamespace="http://schemas.microsoft.com/office/2006/metadata/properties" ma:root="true" ma:fieldsID="eee885bb056183ec5687d160eed7b9ee" ns2:_="" ns3:_="">
    <xsd:import namespace="3189c296-38b9-40a7-9323-b696cd3c3391"/>
    <xsd:import namespace="367f892d-6565-48b7-8183-b0214d5ebe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89c296-38b9-40a7-9323-b696cd3c33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cc1dc9c-c0f4-4cfc-883f-2a29c4e01e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7f892d-6565-48b7-8183-b0214d5ebe5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8669924-6f3a-4ba7-b26a-eab3df94f699}" ma:internalName="TaxCatchAll" ma:showField="CatchAllData" ma:web="367f892d-6565-48b7-8183-b0214d5ebe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D1BE3F-8A30-4734-8A2F-462B8F762AD9}">
  <ds:schemaRefs>
    <ds:schemaRef ds:uri="http://schemas.microsoft.com/office/2006/metadata/properties"/>
    <ds:schemaRef ds:uri="http://schemas.microsoft.com/office/infopath/2007/PartnerControls"/>
    <ds:schemaRef ds:uri="367f892d-6565-48b7-8183-b0214d5ebe5f"/>
    <ds:schemaRef ds:uri="3189c296-38b9-40a7-9323-b696cd3c3391"/>
  </ds:schemaRefs>
</ds:datastoreItem>
</file>

<file path=customXml/itemProps2.xml><?xml version="1.0" encoding="utf-8"?>
<ds:datastoreItem xmlns:ds="http://schemas.openxmlformats.org/officeDocument/2006/customXml" ds:itemID="{F8A7E46A-8D3A-42A4-A653-C2E0BAB740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29CCBD-F8CF-4C2F-8881-B5ECF44F00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89c296-38b9-40a7-9323-b696cd3c3391"/>
    <ds:schemaRef ds:uri="367f892d-6565-48b7-8183-b0214d5ebe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 Rollout Template</vt:lpstr>
      <vt:lpstr>DC Rollout Template 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Partridge, Ted</cp:lastModifiedBy>
  <cp:revision/>
  <dcterms:created xsi:type="dcterms:W3CDTF">2025-11-20T15:38:48Z</dcterms:created>
  <dcterms:modified xsi:type="dcterms:W3CDTF">2025-11-25T17:16:16Z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0x010100A3CA2610F0A90943902E2B1845A96F57</vt:lpwstr>
  </property>
</Properties>
</file>